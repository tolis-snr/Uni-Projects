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8d4763b6339bb7b2/Desktop/7ο εξάμηνο/Μηχανική Μάθηση/Εργασίες/3η εργασία/out/"/>
    </mc:Choice>
  </mc:AlternateContent>
  <xr:revisionPtr revIDLastSave="363" documentId="11_20221C7F70A39A831200224D5ED3627641DCB72F" xr6:coauthVersionLast="47" xr6:coauthVersionMax="47" xr10:uidLastSave="{EA874B69-52E2-4834-95E9-1EAD586516E9}"/>
  <bookViews>
    <workbookView xWindow="-110" yWindow="-110" windowWidth="19420" windowHeight="11020" activeTab="1" xr2:uid="{00000000-000D-0000-FFFF-FFFF00000000}"/>
  </bookViews>
  <sheets>
    <sheet name="Data" sheetId="1" r:id="rId1"/>
    <sheet name="PivotTable" sheetId="2" r:id="rId2"/>
  </sheets>
  <definedNames>
    <definedName name="_xlnm.Print_Titles" localSheetId="1">PivotTable!$A:$A,PivotTable!$3:$4</definedName>
  </definedNames>
  <calcPr calcId="191029"/>
  <pivotCaches>
    <pivotCache cacheId="1" r:id="rId3"/>
  </pivotCaches>
</workbook>
</file>

<file path=xl/sharedStrings.xml><?xml version="1.0" encoding="utf-8"?>
<sst xmlns="http://schemas.openxmlformats.org/spreadsheetml/2006/main" count="148" uniqueCount="23">
  <si>
    <t>Model</t>
  </si>
  <si>
    <t>Set</t>
  </si>
  <si>
    <t>Fold</t>
  </si>
  <si>
    <t>Max_n</t>
  </si>
  <si>
    <t>RMSE_n</t>
  </si>
  <si>
    <t>MAE_n</t>
  </si>
  <si>
    <t>MAPE_n</t>
  </si>
  <si>
    <t>Max</t>
  </si>
  <si>
    <t>RMSE</t>
  </si>
  <si>
    <t>MAE</t>
  </si>
  <si>
    <t>MAPE</t>
  </si>
  <si>
    <t>Random Forest</t>
  </si>
  <si>
    <t>Train</t>
  </si>
  <si>
    <t>Test</t>
  </si>
  <si>
    <t>Gaussian Process</t>
  </si>
  <si>
    <t>SVR</t>
  </si>
  <si>
    <t>kNN</t>
  </si>
  <si>
    <t>Row Labels</t>
  </si>
  <si>
    <t>Grand Total</t>
  </si>
  <si>
    <t>Column Labels</t>
  </si>
  <si>
    <t>Average of RMSE</t>
  </si>
  <si>
    <t>Average of MAPE</t>
  </si>
  <si>
    <t>Average of 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</si>
</sst>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8" xfId="0" applyBorder="1"/>
    <xf numFmtId="0" fontId="0" fillId="0" borderId="5" xfId="0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4" xfId="0" applyBorder="1"/>
    <xf numFmtId="0" fontId="0" fillId="0" borderId="10" xfId="0" applyBorder="1"/>
    <xf numFmtId="0" fontId="0" fillId="0" borderId="6" xfId="0" applyBorder="1"/>
    <xf numFmtId="0" fontId="0" fillId="0" borderId="9" xfId="0" applyBorder="1"/>
    <xf numFmtId="0" fontId="0" fillId="0" borderId="11" xfId="0" applyBorder="1"/>
    <xf numFmtId="0" fontId="0" fillId="0" borderId="7" xfId="0" applyBorder="1"/>
    <xf numFmtId="0" fontId="0" fillId="0" borderId="1" xfId="0" applyNumberFormat="1" applyBorder="1"/>
    <xf numFmtId="0" fontId="0" fillId="0" borderId="5" xfId="0" applyNumberFormat="1" applyBorder="1"/>
    <xf numFmtId="0" fontId="0" fillId="0" borderId="4" xfId="0" applyNumberFormat="1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[diabetes_model_results.xlsx]PivotTable!PivotTable1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Overfitting check (Test</a:t>
            </a:r>
            <a:r>
              <a:rPr lang="en-US" baseline="0"/>
              <a:t> vs Train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PivotTable!$B$3:$B$4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PivotTable!$A$5:$A$9</c:f>
              <c:strCache>
                <c:ptCount val="4"/>
                <c:pt idx="0">
                  <c:v>Gaussian Process</c:v>
                </c:pt>
                <c:pt idx="1">
                  <c:v>kNN</c:v>
                </c:pt>
                <c:pt idx="2">
                  <c:v>Random Forest</c:v>
                </c:pt>
                <c:pt idx="3">
                  <c:v>SVR</c:v>
                </c:pt>
              </c:strCache>
            </c:strRef>
          </c:cat>
          <c:val>
            <c:numRef>
              <c:f>PivotTable!$B$5:$B$9</c:f>
              <c:numCache>
                <c:formatCode>General</c:formatCode>
                <c:ptCount val="4"/>
                <c:pt idx="0">
                  <c:v>54.760961588983172</c:v>
                </c:pt>
                <c:pt idx="1">
                  <c:v>58.091705590611497</c:v>
                </c:pt>
                <c:pt idx="2">
                  <c:v>57.524171586758001</c:v>
                </c:pt>
                <c:pt idx="3">
                  <c:v>56.451121297781668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4-4A47-99E8-F726FCD900B7}"/>
            </c:ext>
          </c:extLst>
        </c:ser>
        <c:ser>
          <c:idx val="1"/>
          <c:order val="1"/>
          <c:tx>
            <c:strRef>
              <c:f>PivotTable!$C$3:$C$4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PivotTable!$A$5:$A$9</c:f>
              <c:strCache>
                <c:ptCount val="4"/>
                <c:pt idx="0">
                  <c:v>Gaussian Process</c:v>
                </c:pt>
                <c:pt idx="1">
                  <c:v>kNN</c:v>
                </c:pt>
                <c:pt idx="2">
                  <c:v>Random Forest</c:v>
                </c:pt>
                <c:pt idx="3">
                  <c:v>SVR</c:v>
                </c:pt>
              </c:strCache>
            </c:strRef>
          </c:cat>
          <c:val>
            <c:numRef>
              <c:f>PivotTable!$C$5:$C$9</c:f>
              <c:numCache>
                <c:formatCode>General</c:formatCode>
                <c:ptCount val="4"/>
                <c:pt idx="0">
                  <c:v>51.936060684005838</c:v>
                </c:pt>
                <c:pt idx="1">
                  <c:v>8.7771731819178331</c:v>
                </c:pt>
                <c:pt idx="2">
                  <c:v>31.349857954312835</c:v>
                </c:pt>
                <c:pt idx="3">
                  <c:v>51.872353693692837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4-4A47-99E8-F726FCD900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0551135"/>
        <c:axId val="1660551615"/>
      </c:barChart>
      <c:catAx>
        <c:axId val="166055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60551615"/>
        <c:crosses val="autoZero"/>
        <c:auto val="1"/>
        <c:lblAlgn val="ctr"/>
        <c:lblOffset val="100"/>
        <c:noMultiLvlLbl val="0"/>
      </c:catAx>
      <c:valAx>
        <c:axId val="166055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RMSE</a:t>
                </a:r>
                <a:r>
                  <a:rPr lang="en-US" baseline="0"/>
                  <a:t>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6055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[diabetes_model_results.xlsx]PivotTable!PivotTable2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MAPE on Test Set (Lower is Better)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PivotTable!$B$29:$B$30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D9A-413A-BB2A-E9F1CB0B67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PivotTable!$A$31:$A$35</c:f>
              <c:strCache>
                <c:ptCount val="4"/>
                <c:pt idx="0">
                  <c:v>Gaussian Process</c:v>
                </c:pt>
                <c:pt idx="1">
                  <c:v>kNN</c:v>
                </c:pt>
                <c:pt idx="2">
                  <c:v>Random Forest</c:v>
                </c:pt>
                <c:pt idx="3">
                  <c:v>SVR</c:v>
                </c:pt>
              </c:strCache>
            </c:strRef>
          </c:cat>
          <c:val>
            <c:numRef>
              <c:f>PivotTable!$B$31:$B$35</c:f>
              <c:numCache>
                <c:formatCode>General</c:formatCode>
                <c:ptCount val="4"/>
                <c:pt idx="0">
                  <c:v>0.39565757950704167</c:v>
                </c:pt>
                <c:pt idx="1">
                  <c:v>0.40099971472549828</c:v>
                </c:pt>
                <c:pt idx="2">
                  <c:v>0.4161361997515784</c:v>
                </c:pt>
                <c:pt idx="3">
                  <c:v>0.40746764256747497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A-413A-BB2A-E9F1CB0B67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7458511"/>
        <c:axId val="1687458031"/>
      </c:barChart>
      <c:catAx>
        <c:axId val="1687458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87458031"/>
        <c:crosses val="autoZero"/>
        <c:auto val="1"/>
        <c:lblAlgn val="ctr"/>
        <c:lblOffset val="100"/>
        <c:noMultiLvlLbl val="0"/>
      </c:catAx>
      <c:valAx>
        <c:axId val="168745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MAPE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8745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[diabetes_model_results.xlsx]PivotTable!PivotTable3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RMSE on Test</a:t>
            </a:r>
            <a:r>
              <a:rPr lang="en-US" baseline="0"/>
              <a:t> Set (Lower is Better)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PivotTable!$B$12:$B$13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F9-4627-95E5-1767C65B11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PivotTable!$A$14:$A$18</c:f>
              <c:strCache>
                <c:ptCount val="4"/>
                <c:pt idx="0">
                  <c:v>Gaussian Process</c:v>
                </c:pt>
                <c:pt idx="1">
                  <c:v>kNN</c:v>
                </c:pt>
                <c:pt idx="2">
                  <c:v>Random Forest</c:v>
                </c:pt>
                <c:pt idx="3">
                  <c:v>SVR</c:v>
                </c:pt>
              </c:strCache>
            </c:strRef>
          </c:cat>
          <c:val>
            <c:numRef>
              <c:f>PivotTable!$B$14:$B$18</c:f>
              <c:numCache>
                <c:formatCode>General</c:formatCode>
                <c:ptCount val="4"/>
                <c:pt idx="0">
                  <c:v>54.760961588983172</c:v>
                </c:pt>
                <c:pt idx="1">
                  <c:v>58.091705590611497</c:v>
                </c:pt>
                <c:pt idx="2">
                  <c:v>57.524171586757994</c:v>
                </c:pt>
                <c:pt idx="3">
                  <c:v>56.451121297781661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9-4627-95E5-1767C65B11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2032735"/>
        <c:axId val="1842035135"/>
      </c:barChart>
      <c:catAx>
        <c:axId val="184203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42035135"/>
        <c:crosses val="autoZero"/>
        <c:auto val="1"/>
        <c:lblAlgn val="ctr"/>
        <c:lblOffset val="100"/>
        <c:noMultiLvlLbl val="0"/>
      </c:catAx>
      <c:valAx>
        <c:axId val="184203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RMSE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4203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[diabetes_model_results.xlsx]PivotTable!PivotTable4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MAE on Test Set (Lower is Better)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PivotTable!$B$46:$B$47</c:f>
              <c:strCache>
                <c:ptCount val="1"/>
                <c:pt idx="0">
                  <c:v>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574-48B2-B0EC-73463DB080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PivotTable!$A$48:$A$52</c:f>
              <c:strCache>
                <c:ptCount val="4"/>
                <c:pt idx="0">
                  <c:v>Gaussian Process</c:v>
                </c:pt>
                <c:pt idx="1">
                  <c:v>kNN</c:v>
                </c:pt>
                <c:pt idx="2">
                  <c:v>Random Forest</c:v>
                </c:pt>
                <c:pt idx="3">
                  <c:v>SVR</c:v>
                </c:pt>
              </c:strCache>
            </c:strRef>
          </c:cat>
          <c:val>
            <c:numRef>
              <c:f>PivotTable!$B$48:$B$52</c:f>
              <c:numCache>
                <c:formatCode>General</c:formatCode>
                <c:ptCount val="4"/>
                <c:pt idx="0">
                  <c:v>44.564221358249831</c:v>
                </c:pt>
                <c:pt idx="1">
                  <c:v>46.443716208296003</c:v>
                </c:pt>
                <c:pt idx="2">
                  <c:v>47.202266107885002</c:v>
                </c:pt>
                <c:pt idx="3">
                  <c:v>45.892304071639671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4-48B2-B0EC-73463DB080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5583456"/>
        <c:axId val="1595585856"/>
      </c:barChart>
      <c:catAx>
        <c:axId val="1595583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595585856"/>
        <c:crosses val="autoZero"/>
        <c:auto val="1"/>
        <c:lblAlgn val="ctr"/>
        <c:lblOffset val="100"/>
        <c:noMultiLvlLbl val="0"/>
      </c:catAx>
      <c:valAx>
        <c:axId val="159558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MAE</a:t>
                </a:r>
                <a:r>
                  <a:rPr lang="en-US" baseline="0"/>
                  <a:t> Values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59558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435347</xdr:colOff>
      <xdr:row>1</xdr:row>
      <xdr:rowOff>130921</xdr:rowOff>
    </xdr:from>
    <xdr:to>
      <xdr:col>22</xdr:col>
      <xdr:colOff>362323</xdr:colOff>
      <xdr:row>23</xdr:row>
      <xdr:rowOff>29883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99DFC1-8A73-178C-B578-112E2A274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604317</xdr:colOff>
      <xdr:row>27</xdr:row>
      <xdr:rowOff>152933</xdr:rowOff>
    </xdr:from>
    <xdr:to>
      <xdr:col>11</xdr:col>
      <xdr:colOff>100052</xdr:colOff>
      <xdr:row>42</xdr:row>
      <xdr:rowOff>174704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31A8E-77A4-CC12-D8F0-80B6C2D4A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74916</xdr:colOff>
      <xdr:row>10</xdr:row>
      <xdr:rowOff>177761</xdr:rowOff>
    </xdr:from>
    <xdr:to>
      <xdr:col>10</xdr:col>
      <xdr:colOff>154440</xdr:colOff>
      <xdr:row>25</xdr:row>
      <xdr:rowOff>161382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E146D0-F776-9544-38A1-6972C2F64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347549</xdr:colOff>
      <xdr:row>44</xdr:row>
      <xdr:rowOff>122351</xdr:rowOff>
    </xdr:from>
    <xdr:to>
      <xdr:col>10</xdr:col>
      <xdr:colOff>417853</xdr:colOff>
      <xdr:row>59</xdr:row>
      <xdr:rowOff>144122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E13899-B91F-0661-640B-45186EFE9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postolos Sinioris" refreshedDate="46037.537128935182" createdVersion="8" refreshedVersion="8" minRefreshableVersion="3" recordCount="48" xr:uid="{BB6877E1-F6EA-4227-9EB9-B8B29F5CC66D}">
  <cacheSource type="worksheet">
    <worksheetSource ref="A1:K49" sheet="Data"/>
  </cacheSource>
  <cacheFields count="11">
    <cacheField name="Model" numFmtId="0">
      <sharedItems count="4">
        <s v="Random Forest"/>
        <s v="Gaussian Process"/>
        <s v="SVR"/>
        <s v="kNN"/>
      </sharedItems>
    </cacheField>
    <cacheField name="Set" numFmtId="0">
      <sharedItems count="2">
        <s v="Train"/>
        <s v="Test"/>
      </sharedItems>
    </cacheField>
    <cacheField name="Fold" numFmtId="0">
      <sharedItems containsSemiMixedTypes="0" containsString="0" containsNumber="1" containsInteger="1" minValue="0" maxValue="5"/>
    </cacheField>
    <cacheField name="Max_n" numFmtId="0">
      <sharedItems containsSemiMixedTypes="0" containsString="0" containsNumber="1" minValue="0" maxValue="0.59377528291582005"/>
    </cacheField>
    <cacheField name="RMSE_n" numFmtId="0">
      <sharedItems containsSemiMixedTypes="0" containsString="0" containsNumber="1" minValue="0" maxValue="0.20394011753517999"/>
    </cacheField>
    <cacheField name="MAE_n" numFmtId="0">
      <sharedItems containsSemiMixedTypes="0" containsString="0" containsNumber="1" minValue="0" maxValue="0.17342421986468001"/>
    </cacheField>
    <cacheField name="MAPE_n" numFmtId="0">
      <sharedItems containsSemiMixedTypes="0" containsString="0" containsNumber="1" minValue="0" maxValue="23057712033985"/>
    </cacheField>
    <cacheField name="Max" numFmtId="0">
      <sharedItems containsSemiMixedTypes="0" containsString="0" containsNumber="1" minValue="0" maxValue="190.60186581598001"/>
    </cacheField>
    <cacheField name="RMSE" numFmtId="0">
      <sharedItems containsSemiMixedTypes="0" containsString="0" containsNumber="1" minValue="0" maxValue="65.464777728794004"/>
    </cacheField>
    <cacheField name="MAE" numFmtId="0">
      <sharedItems containsSemiMixedTypes="0" containsString="0" containsNumber="1" minValue="0" maxValue="55.669174576562"/>
    </cacheField>
    <cacheField name="MAPE" numFmtId="0">
      <sharedItems containsSemiMixedTypes="0" containsString="0" containsNumber="1" minValue="0" maxValue="0.49398139015187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0"/>
    <n v="0.22424527315882001"/>
    <n v="7.7636776082601999E-2"/>
    <n v="6.2201785464242001E-2"/>
    <n v="1608681406743.7"/>
    <n v="71.982732683983002"/>
    <n v="24.921405122515001"/>
    <n v="19.966773134021999"/>
    <n v="0.17661472317006999"/>
  </r>
  <r>
    <x v="0"/>
    <x v="1"/>
    <n v="0"/>
    <n v="0.44985392869504998"/>
    <n v="0.17491753616819999"/>
    <n v="0.14178237138284"/>
    <n v="0.60572401224251005"/>
    <n v="144.40311111111001"/>
    <n v="56.148529109993"/>
    <n v="45.512141213890999"/>
    <n v="0.40573377709783998"/>
  </r>
  <r>
    <x v="1"/>
    <x v="0"/>
    <n v="0"/>
    <n v="0.48842170659117001"/>
    <n v="0.16356593044039999"/>
    <n v="0.13260369493520999"/>
    <n v="4544248372622.2002"/>
    <n v="156.78336781576999"/>
    <n v="52.504663671368"/>
    <n v="42.565786074203999"/>
    <n v="0.38219589787182001"/>
  </r>
  <r>
    <x v="1"/>
    <x v="1"/>
    <n v="0"/>
    <n v="0.46787535663703"/>
    <n v="0.16989779152810999"/>
    <n v="0.13743713892004999"/>
    <n v="0.57402753460700995"/>
    <n v="150.18798948048999"/>
    <n v="54.537191080522"/>
    <n v="44.117321593337003"/>
    <n v="0.38150376452111001"/>
  </r>
  <r>
    <x v="2"/>
    <x v="0"/>
    <n v="0"/>
    <n v="0.50039599149985003"/>
    <n v="0.1670150722639"/>
    <n v="0.13519216699207001"/>
    <n v="4626185949909.0996"/>
    <n v="160.62711327145001"/>
    <n v="53.611838196712"/>
    <n v="43.396685604453999"/>
    <n v="0.38853497312876001"/>
  </r>
  <r>
    <x v="2"/>
    <x v="1"/>
    <n v="0"/>
    <n v="0.46174813561307998"/>
    <n v="0.17461634761913"/>
    <n v="0.14105110545852001"/>
    <n v="0.58907631511771996"/>
    <n v="148.22115153179999"/>
    <n v="56.051847585739999"/>
    <n v="45.277404852183999"/>
    <n v="0.39060747509490001"/>
  </r>
  <r>
    <x v="3"/>
    <x v="0"/>
    <n v="0"/>
    <n v="0"/>
    <n v="0"/>
    <n v="0"/>
    <n v="0"/>
    <n v="0"/>
    <n v="0"/>
    <n v="0"/>
    <n v="0"/>
  </r>
  <r>
    <x v="3"/>
    <x v="1"/>
    <n v="0"/>
    <n v="0.46362030061814002"/>
    <n v="0.17369695831785001"/>
    <n v="0.13852154996998001"/>
    <n v="0.57017624217906004"/>
    <n v="148.82211649842"/>
    <n v="55.756723620029"/>
    <n v="44.465417540365003"/>
    <n v="0.38019229408080002"/>
  </r>
  <r>
    <x v="0"/>
    <x v="0"/>
    <n v="1"/>
    <n v="0.29468316683342"/>
    <n v="0.10244006378577"/>
    <n v="8.2852693955424994E-2"/>
    <n v="1732303827179.7"/>
    <n v="94.593296553528006"/>
    <n v="32.883260475230998"/>
    <n v="26.595714759690999"/>
    <n v="0.23398919135478999"/>
  </r>
  <r>
    <x v="0"/>
    <x v="1"/>
    <n v="1"/>
    <n v="0.41542191824159003"/>
    <n v="0.15828003822310999"/>
    <n v="0.12874752362889"/>
    <n v="0.5237029868384"/>
    <n v="133.35043575555"/>
    <n v="50.807892269617"/>
    <n v="41.327955084872002"/>
    <n v="0.34148725074960001"/>
  </r>
  <r>
    <x v="1"/>
    <x v="0"/>
    <n v="1"/>
    <n v="0.46764959758767999"/>
    <n v="0.16592387122769001"/>
    <n v="0.13431980132133001"/>
    <n v="4594422753336.5996"/>
    <n v="150.11552082565001"/>
    <n v="53.261562664087002"/>
    <n v="43.116656224147"/>
    <n v="0.38683927858610001"/>
  </r>
  <r>
    <x v="1"/>
    <x v="1"/>
    <n v="1"/>
    <n v="0.37986232241463003"/>
    <n v="0.14964552671084999"/>
    <n v="0.11823166553599999"/>
    <n v="0.4998708551587"/>
    <n v="121.9358054951"/>
    <n v="48.036214074184002"/>
    <n v="37.952364637056"/>
    <n v="0.32057066505518"/>
  </r>
  <r>
    <x v="2"/>
    <x v="0"/>
    <n v="1"/>
    <n v="0.48958031614662001"/>
    <n v="0.16070669219891001"/>
    <n v="0.12860543573075001"/>
    <n v="4208804728135.5"/>
    <n v="157.15528148306001"/>
    <n v="51.586848195849001"/>
    <n v="41.282344869570998"/>
    <n v="0.37319967795893999"/>
  </r>
  <r>
    <x v="2"/>
    <x v="1"/>
    <n v="1"/>
    <n v="0.39613312114886001"/>
    <n v="0.15396255792034999"/>
    <n v="0.12072619033985001"/>
    <n v="0.52215421552393004"/>
    <n v="127.15873188878"/>
    <n v="49.421981092431999"/>
    <n v="38.753107099093"/>
    <n v="0.33093435020146"/>
  </r>
  <r>
    <x v="3"/>
    <x v="0"/>
    <n v="1"/>
    <n v="0"/>
    <n v="0"/>
    <n v="0"/>
    <n v="0"/>
    <n v="0"/>
    <n v="0"/>
    <n v="0"/>
    <n v="0"/>
  </r>
  <r>
    <x v="3"/>
    <x v="1"/>
    <n v="1"/>
    <n v="0.41616834701561001"/>
    <n v="0.17196192459583001"/>
    <n v="0.13213178451654001"/>
    <n v="0.52920980061522005"/>
    <n v="133.59003939201"/>
    <n v="55.199777795263003"/>
    <n v="42.414302829808001"/>
    <n v="0.34143010191076001"/>
  </r>
  <r>
    <x v="0"/>
    <x v="0"/>
    <n v="2"/>
    <n v="0.31194042002171002"/>
    <n v="9.8775138405913995E-2"/>
    <n v="7.8341183432518002E-2"/>
    <n v="2385582832655.1001"/>
    <n v="100.13287482697"/>
    <n v="31.706819428298001"/>
    <n v="25.147519881838001"/>
    <n v="0.22521764697284"/>
  </r>
  <r>
    <x v="0"/>
    <x v="1"/>
    <n v="2"/>
    <n v="0.43830031722709001"/>
    <n v="0.20394011753517999"/>
    <n v="0.17342421986468001"/>
    <n v="0.71970180579679999"/>
    <n v="140.69440182989999"/>
    <n v="65.464777728794004"/>
    <n v="55.669174576562"/>
    <n v="0.47809324171717998"/>
  </r>
  <r>
    <x v="1"/>
    <x v="0"/>
    <n v="2"/>
    <n v="0.46810998307649998"/>
    <n v="0.15432335823577001"/>
    <n v="0.12402662388158001"/>
    <n v="4297540763322.1001"/>
    <n v="150.26330456756"/>
    <n v="49.537797993683"/>
    <n v="39.812546265986001"/>
    <n v="0.35607257609409998"/>
  </r>
  <r>
    <x v="1"/>
    <x v="1"/>
    <n v="2"/>
    <n v="0.43826758533243998"/>
    <n v="0.1934723889868"/>
    <n v="0.16396817474125999"/>
    <n v="0.70796545638942998"/>
    <n v="140.68389489171"/>
    <n v="62.104636864762"/>
    <n v="52.633784091945003"/>
    <n v="0.46627871212849997"/>
  </r>
  <r>
    <x v="2"/>
    <x v="0"/>
    <n v="2"/>
    <n v="0.47482169092877002"/>
    <n v="0.15211992870473001"/>
    <n v="0.12269838125237"/>
    <n v="4091564110161.7998"/>
    <n v="152.41776278814001"/>
    <n v="48.830497114217998"/>
    <n v="39.386180382010998"/>
    <n v="0.34969172555645001"/>
  </r>
  <r>
    <x v="2"/>
    <x v="1"/>
    <n v="2"/>
    <n v="0.46481346417667002"/>
    <n v="0.19939380596223"/>
    <n v="0.16712818270978"/>
    <n v="0.69731850859164002"/>
    <n v="149.20512200070999"/>
    <n v="64.005411713876995"/>
    <n v="53.648146649837997"/>
    <n v="0.46386459368047001"/>
  </r>
  <r>
    <x v="3"/>
    <x v="0"/>
    <n v="2"/>
    <n v="0"/>
    <n v="0"/>
    <n v="0"/>
    <n v="0"/>
    <n v="0"/>
    <n v="0"/>
    <n v="0"/>
    <n v="0"/>
  </r>
  <r>
    <x v="3"/>
    <x v="1"/>
    <n v="2"/>
    <n v="0.46708317501726998"/>
    <n v="0.19827201228464"/>
    <n v="0.16449543370511999"/>
    <n v="0.70675434400506998"/>
    <n v="149.93369918054"/>
    <n v="63.645315943368999"/>
    <n v="52.803034219342997"/>
    <n v="0.46511695399267999"/>
  </r>
  <r>
    <x v="0"/>
    <x v="0"/>
    <n v="3"/>
    <n v="0.31262245233484998"/>
    <n v="0.10272327606054001"/>
    <n v="8.2710923368454994E-2"/>
    <n v="1846488950839.6001"/>
    <n v="100.35180719949"/>
    <n v="32.974171615433001"/>
    <n v="26.550206401274"/>
    <n v="0.23669532962421"/>
  </r>
  <r>
    <x v="0"/>
    <x v="1"/>
    <n v="3"/>
    <n v="0.40982362008244999"/>
    <n v="0.17640691636587"/>
    <n v="0.14259073907542999"/>
    <n v="0.56715892138180002"/>
    <n v="131.55338204647001"/>
    <n v="56.626620153444001"/>
    <n v="45.771627243212002"/>
    <n v="0.35365632511704997"/>
  </r>
  <r>
    <x v="1"/>
    <x v="0"/>
    <n v="3"/>
    <n v="0.48451251629418002"/>
    <n v="0.16448863877627001"/>
    <n v="0.13258060797783999"/>
    <n v="4382149157725.3999"/>
    <n v="155.52851773043"/>
    <n v="52.800853047183999"/>
    <n v="42.558375160887003"/>
    <n v="0.38568475228679"/>
  </r>
  <r>
    <x v="1"/>
    <x v="1"/>
    <n v="3"/>
    <n v="0.40325071931174999"/>
    <n v="0.16066348458922999"/>
    <n v="0.13049338686574999"/>
    <n v="0.53383028300625002"/>
    <n v="129.44348089907001"/>
    <n v="51.572978553143997"/>
    <n v="41.888377183905"/>
    <n v="0.31374836221648"/>
  </r>
  <r>
    <x v="2"/>
    <x v="0"/>
    <n v="3"/>
    <n v="0.49238576365325998"/>
    <n v="0.15744992525118001"/>
    <n v="0.12621715848737"/>
    <n v="3468667162195.5"/>
    <n v="158.05583013270001"/>
    <n v="50.541426005630001"/>
    <n v="40.515707874444999"/>
    <n v="0.35934498942734"/>
  </r>
  <r>
    <x v="2"/>
    <x v="1"/>
    <n v="3"/>
    <n v="0.47058824074665001"/>
    <n v="0.16855555642869"/>
    <n v="0.13716540736982999"/>
    <n v="0.57060360315567005"/>
    <n v="151.05882527967"/>
    <n v="54.106333613609003"/>
    <n v="44.030095765717"/>
    <n v="0.34404936762170002"/>
  </r>
  <r>
    <x v="3"/>
    <x v="0"/>
    <n v="3"/>
    <n v="0"/>
    <n v="0"/>
    <n v="0"/>
    <n v="0"/>
    <n v="0"/>
    <n v="0"/>
    <n v="0"/>
    <n v="0"/>
  </r>
  <r>
    <x v="3"/>
    <x v="1"/>
    <n v="3"/>
    <n v="0.51948953971043998"/>
    <n v="0.17914582644419999"/>
    <n v="0.13978916178584999"/>
    <n v="0.54078131680925001"/>
    <n v="166.75614224705001"/>
    <n v="57.505810288588997"/>
    <n v="44.872320933258003"/>
    <n v="0.33420015008102"/>
  </r>
  <r>
    <x v="0"/>
    <x v="0"/>
    <n v="4"/>
    <n v="0.29204757415841998"/>
    <n v="0.10206932065115"/>
    <n v="8.2876669314661006E-2"/>
    <n v="0.36845063148969998"/>
    <n v="93.747271304853001"/>
    <n v="32.764251929018997"/>
    <n v="26.603410850006"/>
    <n v="0.23283929331788999"/>
  </r>
  <r>
    <x v="0"/>
    <x v="1"/>
    <n v="4"/>
    <n v="0.52847428624920001"/>
    <n v="0.18743361109319001"/>
    <n v="0.15260715839019001"/>
    <n v="19137545583125"/>
    <n v="169.64024588599"/>
    <n v="60.166189160915003"/>
    <n v="48.986897843252002"/>
    <n v="0.45815231631418002"/>
  </r>
  <r>
    <x v="1"/>
    <x v="0"/>
    <n v="4"/>
    <n v="0.4654989442686"/>
    <n v="0.16244525089569001"/>
    <n v="0.13136265666102001"/>
    <n v="0.59025921400698"/>
    <n v="149.42516111021999"/>
    <n v="52.144925537516002"/>
    <n v="42.167412788185999"/>
    <n v="0.37209406949335"/>
  </r>
  <r>
    <x v="1"/>
    <x v="1"/>
    <n v="4"/>
    <n v="0.37284703290584997"/>
    <n v="0.16865017761932999"/>
    <n v="0.13456445134958001"/>
    <n v="23002106280288"/>
    <n v="119.68389756278"/>
    <n v="54.136707015803999"/>
    <n v="43.195188883214001"/>
    <n v="0.41179620747114998"/>
  </r>
  <r>
    <x v="2"/>
    <x v="0"/>
    <n v="4"/>
    <n v="0.48039269791019001"/>
    <n v="0.16809505134808"/>
    <n v="0.13610125985702001"/>
    <n v="0.60082669828074997"/>
    <n v="154.20605602917001"/>
    <n v="53.958511482734998"/>
    <n v="43.688504414104003"/>
    <n v="0.37974901452968002"/>
  </r>
  <r>
    <x v="2"/>
    <x v="1"/>
    <n v="4"/>
    <n v="0.37374836081147"/>
    <n v="0.17231198125227001"/>
    <n v="0.13809931793176999"/>
    <n v="23057712033985"/>
    <n v="119.97322382048"/>
    <n v="55.312145981980002"/>
    <n v="44.329881056098003"/>
    <n v="0.42136867865444"/>
  </r>
  <r>
    <x v="3"/>
    <x v="0"/>
    <n v="4"/>
    <n v="0"/>
    <n v="0"/>
    <n v="0"/>
    <n v="0"/>
    <n v="0"/>
    <n v="0"/>
    <n v="0"/>
    <n v="0"/>
  </r>
  <r>
    <x v="3"/>
    <x v="1"/>
    <n v="4"/>
    <n v="0.59377528291582005"/>
    <n v="0.19067148254277999"/>
    <n v="0.15144182464816"/>
    <n v="22041817031516"/>
    <n v="190.60186581598001"/>
    <n v="61.205545896234"/>
    <n v="48.612825712057997"/>
    <n v="0.43350569432927999"/>
  </r>
  <r>
    <x v="0"/>
    <x v="0"/>
    <n v="5"/>
    <n v="0.32037318414750998"/>
    <n v="0.10233407836567"/>
    <n v="8.2560105858605001E-2"/>
    <n v="2512845706820.7998"/>
    <n v="102.83979211134999"/>
    <n v="32.849239155380999"/>
    <n v="26.501793980612"/>
    <n v="0.23194740915299999"/>
  </r>
  <r>
    <x v="0"/>
    <x v="1"/>
    <n v="5"/>
    <n v="0.47409200251559003"/>
    <n v="0.17423994111459001"/>
    <n v="0.14313333546890999"/>
    <n v="0.73107041704923004"/>
    <n v="152.1835328075"/>
    <n v="55.931021097784999"/>
    <n v="45.945800685521"/>
    <n v="0.45969428751362001"/>
  </r>
  <r>
    <x v="1"/>
    <x v="0"/>
    <n v="5"/>
    <n v="0.49373859250869001"/>
    <n v="0.16002043984485001"/>
    <n v="0.12866679025853001"/>
    <n v="4614914163485.0996"/>
    <n v="158.49008819529001"/>
    <n v="51.366561190196997"/>
    <n v="41.302039672987"/>
    <n v="0.3631318149303"/>
  </r>
  <r>
    <x v="1"/>
    <x v="1"/>
    <n v="5"/>
    <n v="0.47991554796731001"/>
    <n v="0.18124000606068999"/>
    <n v="0.14828128274155999"/>
    <n v="0.76065029289492003"/>
    <n v="154.05289089751"/>
    <n v="58.178041945483002"/>
    <n v="47.598291760042002"/>
    <n v="0.48004776564982998"/>
  </r>
  <r>
    <x v="2"/>
    <x v="0"/>
    <n v="5"/>
    <n v="0.51082880477468995"/>
    <n v="0.16419003478819999"/>
    <n v="0.13147890820186001"/>
    <n v="4797707475578.5996"/>
    <n v="163.97604633268"/>
    <n v="52.705001167013002"/>
    <n v="42.204729532797998"/>
    <n v="0.36988781022141998"/>
  </r>
  <r>
    <x v="2"/>
    <x v="1"/>
    <n v="5"/>
    <n v="0.47648742741525002"/>
    <n v="0.18632089657025999"/>
    <n v="0.15362987229566"/>
    <n v="0.77910994237455"/>
    <n v="152.9524642003"/>
    <n v="59.809007799051997"/>
    <n v="49.315189006908"/>
    <n v="0.49398139015187997"/>
  </r>
  <r>
    <x v="3"/>
    <x v="0"/>
    <n v="5"/>
    <n v="0.43387142452562999"/>
    <n v="0.16405931181155001"/>
    <n v="0.12952256398803"/>
    <n v="4794155891537.2002"/>
    <n v="139.27272727273001"/>
    <n v="52.663039091507002"/>
    <n v="41.576743040158"/>
    <n v="0.36750090658682"/>
  </r>
  <r>
    <x v="3"/>
    <x v="1"/>
    <n v="5"/>
    <n v="0.52364769187199001"/>
    <n v="0.17207806853640001"/>
    <n v="0.14172709038923001"/>
    <n v="0.71902175723636996"/>
    <n v="168.09090909091"/>
    <n v="55.237060000184997"/>
    <n v="45.494396014944002"/>
    <n v="0.451553093958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E4FD0-2A74-4341-885F-7D2FF8D4920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6:C52" firstHeaderRow="1" firstDataRow="2" firstDataCol="1"/>
  <pivotFields count="11">
    <pivotField axis="axisRow" showAll="0">
      <items count="5">
        <item x="1"/>
        <item x="3"/>
        <item x="0"/>
        <item x="2"/>
        <item t="default"/>
      </items>
    </pivotField>
    <pivotField axis="axisCol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2">
    <i>
      <x/>
    </i>
    <i t="grand">
      <x/>
    </i>
  </colItems>
  <dataFields count="1">
    <dataField name="Average of MAE" fld="9" subtotal="average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5534C-3305-4347-A243-A03B2AD5037B}" name="PivotTable1" cacheId="1" applyNumberFormats="0" applyBorderFormats="0" applyFontFormats="0" applyPatternFormats="0" applyAlignmentFormats="0" applyWidthHeightFormats="1" dataCaption="Values" updatedVersion="8" minRefreshableVersion="3" useAutoFormatting="1" fieldPrintTitles="1" itemPrintTitles="1" createdVersion="8" indent="0" outline="1" outlineData="1" multipleFieldFilters="0" chartFormat="15">
  <location ref="A3:D9" firstHeaderRow="1" firstDataRow="2" firstDataCol="1"/>
  <pivotFields count="11">
    <pivotField axis="axisRow" showAll="0">
      <items count="5">
        <item x="1"/>
        <item x="3"/>
        <item x="0"/>
        <item x="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RMSE" fld="8" subtotal="average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B236A-292F-4016-8C7C-C5609DC6630A}" name="PivotTable3" cacheId="1" applyNumberFormats="0" applyBorderFormats="0" applyFontFormats="0" applyPatternFormats="0" applyAlignmentFormats="0" applyWidthHeightFormats="1" dataCaption="Values" updatedVersion="8" minRefreshableVersion="3" useAutoFormatting="1" fieldPrintTitles="1" itemPrintTitles="1" createdVersion="8" indent="0" outline="1" outlineData="1" multipleFieldFilters="0" chartFormat="21">
  <location ref="A12:C18" firstHeaderRow="1" firstDataRow="2" firstDataCol="1"/>
  <pivotFields count="11">
    <pivotField axis="axisRow" showAll="0">
      <items count="5">
        <item x="1"/>
        <item x="3"/>
        <item x="0"/>
        <item x="2"/>
        <item t="default"/>
      </items>
    </pivotField>
    <pivotField axis="axisCol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2">
    <i>
      <x/>
    </i>
    <i t="grand">
      <x/>
    </i>
  </colItems>
  <dataFields count="1">
    <dataField name="Average of RMSE" fld="8" subtotal="average" baseField="0" baseItem="0"/>
  </dataField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ACE22C-0971-4D3B-8979-E1E266F441B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9:C35" firstHeaderRow="1" firstDataRow="2" firstDataCol="1"/>
  <pivotFields count="11">
    <pivotField axis="axisRow" showAll="0">
      <items count="5">
        <item x="1"/>
        <item x="3"/>
        <item x="0"/>
        <item x="2"/>
        <item t="default"/>
      </items>
    </pivotField>
    <pivotField axis="axisCol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2">
    <i>
      <x/>
    </i>
    <i t="grand">
      <x/>
    </i>
  </colItems>
  <dataFields count="1">
    <dataField name="Average of MAPE" fld="10" subtotal="average" baseField="0" baseItem="0"/>
  </dataFields>
  <chartFormats count="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workbookViewId="0">
      <selection sqref="A1:K49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0</v>
      </c>
      <c r="D2">
        <v>0.22424527315882001</v>
      </c>
      <c r="E2">
        <v>7.7636776082601999E-2</v>
      </c>
      <c r="F2">
        <v>6.2201785464242001E-2</v>
      </c>
      <c r="G2">
        <v>1608681406743.7</v>
      </c>
      <c r="H2">
        <v>71.982732683983002</v>
      </c>
      <c r="I2">
        <v>24.921405122515001</v>
      </c>
      <c r="J2">
        <v>19.966773134021999</v>
      </c>
      <c r="K2">
        <v>0.17661472317006999</v>
      </c>
    </row>
    <row r="3" spans="1:11" x14ac:dyDescent="0.35">
      <c r="A3" t="s">
        <v>11</v>
      </c>
      <c r="B3" t="s">
        <v>13</v>
      </c>
      <c r="C3">
        <v>0</v>
      </c>
      <c r="D3">
        <v>0.44985392869504998</v>
      </c>
      <c r="E3">
        <v>0.17491753616819999</v>
      </c>
      <c r="F3">
        <v>0.14178237138284</v>
      </c>
      <c r="G3">
        <v>0.60572401224251005</v>
      </c>
      <c r="H3">
        <v>144.40311111111001</v>
      </c>
      <c r="I3">
        <v>56.148529109993</v>
      </c>
      <c r="J3">
        <v>45.512141213890999</v>
      </c>
      <c r="K3">
        <v>0.40573377709783998</v>
      </c>
    </row>
    <row r="4" spans="1:11" x14ac:dyDescent="0.35">
      <c r="A4" t="s">
        <v>14</v>
      </c>
      <c r="B4" t="s">
        <v>12</v>
      </c>
      <c r="C4">
        <v>0</v>
      </c>
      <c r="D4">
        <v>0.48842170659117001</v>
      </c>
      <c r="E4">
        <v>0.16356593044039999</v>
      </c>
      <c r="F4">
        <v>0.13260369493520999</v>
      </c>
      <c r="G4">
        <v>4544248372622.2002</v>
      </c>
      <c r="H4">
        <v>156.78336781576999</v>
      </c>
      <c r="I4">
        <v>52.504663671368</v>
      </c>
      <c r="J4">
        <v>42.565786074203999</v>
      </c>
      <c r="K4">
        <v>0.38219589787182001</v>
      </c>
    </row>
    <row r="5" spans="1:11" x14ac:dyDescent="0.35">
      <c r="A5" t="s">
        <v>14</v>
      </c>
      <c r="B5" t="s">
        <v>13</v>
      </c>
      <c r="C5">
        <v>0</v>
      </c>
      <c r="D5">
        <v>0.46787535663703</v>
      </c>
      <c r="E5">
        <v>0.16989779152810999</v>
      </c>
      <c r="F5">
        <v>0.13743713892004999</v>
      </c>
      <c r="G5">
        <v>0.57402753460700995</v>
      </c>
      <c r="H5">
        <v>150.18798948048999</v>
      </c>
      <c r="I5">
        <v>54.537191080522</v>
      </c>
      <c r="J5">
        <v>44.117321593337003</v>
      </c>
      <c r="K5">
        <v>0.38150376452111001</v>
      </c>
    </row>
    <row r="6" spans="1:11" x14ac:dyDescent="0.35">
      <c r="A6" t="s">
        <v>15</v>
      </c>
      <c r="B6" t="s">
        <v>12</v>
      </c>
      <c r="C6">
        <v>0</v>
      </c>
      <c r="D6">
        <v>0.50039599149985003</v>
      </c>
      <c r="E6">
        <v>0.1670150722639</v>
      </c>
      <c r="F6">
        <v>0.13519216699207001</v>
      </c>
      <c r="G6">
        <v>4626185949909.0996</v>
      </c>
      <c r="H6">
        <v>160.62711327145001</v>
      </c>
      <c r="I6">
        <v>53.611838196712</v>
      </c>
      <c r="J6">
        <v>43.396685604453999</v>
      </c>
      <c r="K6">
        <v>0.38853497312876001</v>
      </c>
    </row>
    <row r="7" spans="1:11" x14ac:dyDescent="0.35">
      <c r="A7" t="s">
        <v>15</v>
      </c>
      <c r="B7" t="s">
        <v>13</v>
      </c>
      <c r="C7">
        <v>0</v>
      </c>
      <c r="D7">
        <v>0.46174813561307998</v>
      </c>
      <c r="E7">
        <v>0.17461634761913</v>
      </c>
      <c r="F7">
        <v>0.14105110545852001</v>
      </c>
      <c r="G7">
        <v>0.58907631511771996</v>
      </c>
      <c r="H7">
        <v>148.22115153179999</v>
      </c>
      <c r="I7">
        <v>56.051847585739999</v>
      </c>
      <c r="J7">
        <v>45.277404852183999</v>
      </c>
      <c r="K7">
        <v>0.39060747509490001</v>
      </c>
    </row>
    <row r="8" spans="1:11" x14ac:dyDescent="0.35">
      <c r="A8" t="s">
        <v>16</v>
      </c>
      <c r="B8" t="s">
        <v>12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16</v>
      </c>
      <c r="B9" t="s">
        <v>13</v>
      </c>
      <c r="C9">
        <v>0</v>
      </c>
      <c r="D9">
        <v>0.46362030061814002</v>
      </c>
      <c r="E9">
        <v>0.17369695831785001</v>
      </c>
      <c r="F9">
        <v>0.13852154996998001</v>
      </c>
      <c r="G9">
        <v>0.57017624217906004</v>
      </c>
      <c r="H9">
        <v>148.82211649842</v>
      </c>
      <c r="I9">
        <v>55.756723620029</v>
      </c>
      <c r="J9">
        <v>44.465417540365003</v>
      </c>
      <c r="K9">
        <v>0.38019229408080002</v>
      </c>
    </row>
    <row r="10" spans="1:11" x14ac:dyDescent="0.35">
      <c r="A10" t="s">
        <v>11</v>
      </c>
      <c r="B10" t="s">
        <v>12</v>
      </c>
      <c r="C10">
        <v>1</v>
      </c>
      <c r="D10">
        <v>0.29468316683342</v>
      </c>
      <c r="E10">
        <v>0.10244006378577</v>
      </c>
      <c r="F10">
        <v>8.2852693955424994E-2</v>
      </c>
      <c r="G10">
        <v>1732303827179.7</v>
      </c>
      <c r="H10">
        <v>94.593296553528006</v>
      </c>
      <c r="I10">
        <v>32.883260475230998</v>
      </c>
      <c r="J10">
        <v>26.595714759690999</v>
      </c>
      <c r="K10">
        <v>0.23398919135478999</v>
      </c>
    </row>
    <row r="11" spans="1:11" x14ac:dyDescent="0.35">
      <c r="A11" t="s">
        <v>11</v>
      </c>
      <c r="B11" t="s">
        <v>13</v>
      </c>
      <c r="C11">
        <v>1</v>
      </c>
      <c r="D11">
        <v>0.41542191824159003</v>
      </c>
      <c r="E11">
        <v>0.15828003822310999</v>
      </c>
      <c r="F11">
        <v>0.12874752362889</v>
      </c>
      <c r="G11">
        <v>0.5237029868384</v>
      </c>
      <c r="H11">
        <v>133.35043575555</v>
      </c>
      <c r="I11">
        <v>50.807892269617</v>
      </c>
      <c r="J11">
        <v>41.327955084872002</v>
      </c>
      <c r="K11">
        <v>0.34148725074960001</v>
      </c>
    </row>
    <row r="12" spans="1:11" x14ac:dyDescent="0.35">
      <c r="A12" t="s">
        <v>14</v>
      </c>
      <c r="B12" t="s">
        <v>12</v>
      </c>
      <c r="C12">
        <v>1</v>
      </c>
      <c r="D12">
        <v>0.46764959758767999</v>
      </c>
      <c r="E12">
        <v>0.16592387122769001</v>
      </c>
      <c r="F12">
        <v>0.13431980132133001</v>
      </c>
      <c r="G12">
        <v>4594422753336.5996</v>
      </c>
      <c r="H12">
        <v>150.11552082565001</v>
      </c>
      <c r="I12">
        <v>53.261562664087002</v>
      </c>
      <c r="J12">
        <v>43.116656224147</v>
      </c>
      <c r="K12">
        <v>0.38683927858610001</v>
      </c>
    </row>
    <row r="13" spans="1:11" x14ac:dyDescent="0.35">
      <c r="A13" t="s">
        <v>14</v>
      </c>
      <c r="B13" t="s">
        <v>13</v>
      </c>
      <c r="C13">
        <v>1</v>
      </c>
      <c r="D13">
        <v>0.37986232241463003</v>
      </c>
      <c r="E13">
        <v>0.14964552671084999</v>
      </c>
      <c r="F13">
        <v>0.11823166553599999</v>
      </c>
      <c r="G13">
        <v>0.4998708551587</v>
      </c>
      <c r="H13">
        <v>121.9358054951</v>
      </c>
      <c r="I13">
        <v>48.036214074184002</v>
      </c>
      <c r="J13">
        <v>37.952364637056</v>
      </c>
      <c r="K13">
        <v>0.32057066505518</v>
      </c>
    </row>
    <row r="14" spans="1:11" x14ac:dyDescent="0.35">
      <c r="A14" t="s">
        <v>15</v>
      </c>
      <c r="B14" t="s">
        <v>12</v>
      </c>
      <c r="C14">
        <v>1</v>
      </c>
      <c r="D14">
        <v>0.48958031614662001</v>
      </c>
      <c r="E14">
        <v>0.16070669219891001</v>
      </c>
      <c r="F14">
        <v>0.12860543573075001</v>
      </c>
      <c r="G14">
        <v>4208804728135.5</v>
      </c>
      <c r="H14">
        <v>157.15528148306001</v>
      </c>
      <c r="I14">
        <v>51.586848195849001</v>
      </c>
      <c r="J14">
        <v>41.282344869570998</v>
      </c>
      <c r="K14">
        <v>0.37319967795893999</v>
      </c>
    </row>
    <row r="15" spans="1:11" x14ac:dyDescent="0.35">
      <c r="A15" t="s">
        <v>15</v>
      </c>
      <c r="B15" t="s">
        <v>13</v>
      </c>
      <c r="C15">
        <v>1</v>
      </c>
      <c r="D15">
        <v>0.39613312114886001</v>
      </c>
      <c r="E15">
        <v>0.15396255792034999</v>
      </c>
      <c r="F15">
        <v>0.12072619033985001</v>
      </c>
      <c r="G15">
        <v>0.52215421552393004</v>
      </c>
      <c r="H15">
        <v>127.15873188878</v>
      </c>
      <c r="I15">
        <v>49.421981092431999</v>
      </c>
      <c r="J15">
        <v>38.753107099093</v>
      </c>
      <c r="K15">
        <v>0.33093435020146</v>
      </c>
    </row>
    <row r="16" spans="1:11" x14ac:dyDescent="0.35">
      <c r="A16" t="s">
        <v>16</v>
      </c>
      <c r="B16" t="s">
        <v>12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 t="s">
        <v>16</v>
      </c>
      <c r="B17" t="s">
        <v>13</v>
      </c>
      <c r="C17">
        <v>1</v>
      </c>
      <c r="D17">
        <v>0.41616834701561001</v>
      </c>
      <c r="E17">
        <v>0.17196192459583001</v>
      </c>
      <c r="F17">
        <v>0.13213178451654001</v>
      </c>
      <c r="G17">
        <v>0.52920980061522005</v>
      </c>
      <c r="H17">
        <v>133.59003939201</v>
      </c>
      <c r="I17">
        <v>55.199777795263003</v>
      </c>
      <c r="J17">
        <v>42.414302829808001</v>
      </c>
      <c r="K17">
        <v>0.34143010191076001</v>
      </c>
    </row>
    <row r="18" spans="1:11" x14ac:dyDescent="0.35">
      <c r="A18" t="s">
        <v>11</v>
      </c>
      <c r="B18" t="s">
        <v>12</v>
      </c>
      <c r="C18">
        <v>2</v>
      </c>
      <c r="D18">
        <v>0.31194042002171002</v>
      </c>
      <c r="E18">
        <v>9.8775138405913995E-2</v>
      </c>
      <c r="F18">
        <v>7.8341183432518002E-2</v>
      </c>
      <c r="G18">
        <v>2385582832655.1001</v>
      </c>
      <c r="H18">
        <v>100.13287482697</v>
      </c>
      <c r="I18">
        <v>31.706819428298001</v>
      </c>
      <c r="J18">
        <v>25.147519881838001</v>
      </c>
      <c r="K18">
        <v>0.22521764697284</v>
      </c>
    </row>
    <row r="19" spans="1:11" x14ac:dyDescent="0.35">
      <c r="A19" t="s">
        <v>11</v>
      </c>
      <c r="B19" t="s">
        <v>13</v>
      </c>
      <c r="C19">
        <v>2</v>
      </c>
      <c r="D19">
        <v>0.43830031722709001</v>
      </c>
      <c r="E19">
        <v>0.20394011753517999</v>
      </c>
      <c r="F19">
        <v>0.17342421986468001</v>
      </c>
      <c r="G19">
        <v>0.71970180579679999</v>
      </c>
      <c r="H19">
        <v>140.69440182989999</v>
      </c>
      <c r="I19">
        <v>65.464777728794004</v>
      </c>
      <c r="J19">
        <v>55.669174576562</v>
      </c>
      <c r="K19">
        <v>0.47809324171717998</v>
      </c>
    </row>
    <row r="20" spans="1:11" x14ac:dyDescent="0.35">
      <c r="A20" t="s">
        <v>14</v>
      </c>
      <c r="B20" t="s">
        <v>12</v>
      </c>
      <c r="C20">
        <v>2</v>
      </c>
      <c r="D20">
        <v>0.46810998307649998</v>
      </c>
      <c r="E20">
        <v>0.15432335823577001</v>
      </c>
      <c r="F20">
        <v>0.12402662388158001</v>
      </c>
      <c r="G20">
        <v>4297540763322.1001</v>
      </c>
      <c r="H20">
        <v>150.26330456756</v>
      </c>
      <c r="I20">
        <v>49.537797993683</v>
      </c>
      <c r="J20">
        <v>39.812546265986001</v>
      </c>
      <c r="K20">
        <v>0.35607257609409998</v>
      </c>
    </row>
    <row r="21" spans="1:11" x14ac:dyDescent="0.35">
      <c r="A21" t="s">
        <v>14</v>
      </c>
      <c r="B21" t="s">
        <v>13</v>
      </c>
      <c r="C21">
        <v>2</v>
      </c>
      <c r="D21">
        <v>0.43826758533243998</v>
      </c>
      <c r="E21">
        <v>0.1934723889868</v>
      </c>
      <c r="F21">
        <v>0.16396817474125999</v>
      </c>
      <c r="G21">
        <v>0.70796545638942998</v>
      </c>
      <c r="H21">
        <v>140.68389489171</v>
      </c>
      <c r="I21">
        <v>62.104636864762</v>
      </c>
      <c r="J21">
        <v>52.633784091945003</v>
      </c>
      <c r="K21">
        <v>0.46627871212849997</v>
      </c>
    </row>
    <row r="22" spans="1:11" x14ac:dyDescent="0.35">
      <c r="A22" t="s">
        <v>15</v>
      </c>
      <c r="B22" t="s">
        <v>12</v>
      </c>
      <c r="C22">
        <v>2</v>
      </c>
      <c r="D22">
        <v>0.47482169092877002</v>
      </c>
      <c r="E22">
        <v>0.15211992870473001</v>
      </c>
      <c r="F22">
        <v>0.12269838125237</v>
      </c>
      <c r="G22">
        <v>4091564110161.7998</v>
      </c>
      <c r="H22">
        <v>152.41776278814001</v>
      </c>
      <c r="I22">
        <v>48.830497114217998</v>
      </c>
      <c r="J22">
        <v>39.386180382010998</v>
      </c>
      <c r="K22">
        <v>0.34969172555645001</v>
      </c>
    </row>
    <row r="23" spans="1:11" x14ac:dyDescent="0.35">
      <c r="A23" t="s">
        <v>15</v>
      </c>
      <c r="B23" t="s">
        <v>13</v>
      </c>
      <c r="C23">
        <v>2</v>
      </c>
      <c r="D23">
        <v>0.46481346417667002</v>
      </c>
      <c r="E23">
        <v>0.19939380596223</v>
      </c>
      <c r="F23">
        <v>0.16712818270978</v>
      </c>
      <c r="G23">
        <v>0.69731850859164002</v>
      </c>
      <c r="H23">
        <v>149.20512200070999</v>
      </c>
      <c r="I23">
        <v>64.005411713876995</v>
      </c>
      <c r="J23">
        <v>53.648146649837997</v>
      </c>
      <c r="K23">
        <v>0.46386459368047001</v>
      </c>
    </row>
    <row r="24" spans="1:11" x14ac:dyDescent="0.35">
      <c r="A24" t="s">
        <v>16</v>
      </c>
      <c r="B24" t="s">
        <v>12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t="s">
        <v>16</v>
      </c>
      <c r="B25" t="s">
        <v>13</v>
      </c>
      <c r="C25">
        <v>2</v>
      </c>
      <c r="D25">
        <v>0.46708317501726998</v>
      </c>
      <c r="E25">
        <v>0.19827201228464</v>
      </c>
      <c r="F25">
        <v>0.16449543370511999</v>
      </c>
      <c r="G25">
        <v>0.70675434400506998</v>
      </c>
      <c r="H25">
        <v>149.93369918054</v>
      </c>
      <c r="I25">
        <v>63.645315943368999</v>
      </c>
      <c r="J25">
        <v>52.803034219342997</v>
      </c>
      <c r="K25">
        <v>0.46511695399267999</v>
      </c>
    </row>
    <row r="26" spans="1:11" x14ac:dyDescent="0.35">
      <c r="A26" t="s">
        <v>11</v>
      </c>
      <c r="B26" t="s">
        <v>12</v>
      </c>
      <c r="C26">
        <v>3</v>
      </c>
      <c r="D26">
        <v>0.31262245233484998</v>
      </c>
      <c r="E26">
        <v>0.10272327606054001</v>
      </c>
      <c r="F26">
        <v>8.2710923368454994E-2</v>
      </c>
      <c r="G26">
        <v>1846488950839.6001</v>
      </c>
      <c r="H26">
        <v>100.35180719949</v>
      </c>
      <c r="I26">
        <v>32.974171615433001</v>
      </c>
      <c r="J26">
        <v>26.550206401274</v>
      </c>
      <c r="K26">
        <v>0.23669532962421</v>
      </c>
    </row>
    <row r="27" spans="1:11" x14ac:dyDescent="0.35">
      <c r="A27" t="s">
        <v>11</v>
      </c>
      <c r="B27" t="s">
        <v>13</v>
      </c>
      <c r="C27">
        <v>3</v>
      </c>
      <c r="D27">
        <v>0.40982362008244999</v>
      </c>
      <c r="E27">
        <v>0.17640691636587</v>
      </c>
      <c r="F27">
        <v>0.14259073907542999</v>
      </c>
      <c r="G27">
        <v>0.56715892138180002</v>
      </c>
      <c r="H27">
        <v>131.55338204647001</v>
      </c>
      <c r="I27">
        <v>56.626620153444001</v>
      </c>
      <c r="J27">
        <v>45.771627243212002</v>
      </c>
      <c r="K27">
        <v>0.35365632511704997</v>
      </c>
    </row>
    <row r="28" spans="1:11" x14ac:dyDescent="0.35">
      <c r="A28" t="s">
        <v>14</v>
      </c>
      <c r="B28" t="s">
        <v>12</v>
      </c>
      <c r="C28">
        <v>3</v>
      </c>
      <c r="D28">
        <v>0.48451251629418002</v>
      </c>
      <c r="E28">
        <v>0.16448863877627001</v>
      </c>
      <c r="F28">
        <v>0.13258060797783999</v>
      </c>
      <c r="G28">
        <v>4382149157725.3999</v>
      </c>
      <c r="H28">
        <v>155.52851773043</v>
      </c>
      <c r="I28">
        <v>52.800853047183999</v>
      </c>
      <c r="J28">
        <v>42.558375160887003</v>
      </c>
      <c r="K28">
        <v>0.38568475228679</v>
      </c>
    </row>
    <row r="29" spans="1:11" x14ac:dyDescent="0.35">
      <c r="A29" t="s">
        <v>14</v>
      </c>
      <c r="B29" t="s">
        <v>13</v>
      </c>
      <c r="C29">
        <v>3</v>
      </c>
      <c r="D29">
        <v>0.40325071931174999</v>
      </c>
      <c r="E29">
        <v>0.16066348458922999</v>
      </c>
      <c r="F29">
        <v>0.13049338686574999</v>
      </c>
      <c r="G29">
        <v>0.53383028300625002</v>
      </c>
      <c r="H29">
        <v>129.44348089907001</v>
      </c>
      <c r="I29">
        <v>51.572978553143997</v>
      </c>
      <c r="J29">
        <v>41.888377183905</v>
      </c>
      <c r="K29">
        <v>0.31374836221648</v>
      </c>
    </row>
    <row r="30" spans="1:11" x14ac:dyDescent="0.35">
      <c r="A30" t="s">
        <v>15</v>
      </c>
      <c r="B30" t="s">
        <v>12</v>
      </c>
      <c r="C30">
        <v>3</v>
      </c>
      <c r="D30">
        <v>0.49238576365325998</v>
      </c>
      <c r="E30">
        <v>0.15744992525118001</v>
      </c>
      <c r="F30">
        <v>0.12621715848737</v>
      </c>
      <c r="G30">
        <v>3468667162195.5</v>
      </c>
      <c r="H30">
        <v>158.05583013270001</v>
      </c>
      <c r="I30">
        <v>50.541426005630001</v>
      </c>
      <c r="J30">
        <v>40.515707874444999</v>
      </c>
      <c r="K30">
        <v>0.35934498942734</v>
      </c>
    </row>
    <row r="31" spans="1:11" x14ac:dyDescent="0.35">
      <c r="A31" t="s">
        <v>15</v>
      </c>
      <c r="B31" t="s">
        <v>13</v>
      </c>
      <c r="C31">
        <v>3</v>
      </c>
      <c r="D31">
        <v>0.47058824074665001</v>
      </c>
      <c r="E31">
        <v>0.16855555642869</v>
      </c>
      <c r="F31">
        <v>0.13716540736982999</v>
      </c>
      <c r="G31">
        <v>0.57060360315567005</v>
      </c>
      <c r="H31">
        <v>151.05882527967</v>
      </c>
      <c r="I31">
        <v>54.106333613609003</v>
      </c>
      <c r="J31">
        <v>44.030095765717</v>
      </c>
      <c r="K31">
        <v>0.34404936762170002</v>
      </c>
    </row>
    <row r="32" spans="1:11" x14ac:dyDescent="0.35">
      <c r="A32" t="s">
        <v>16</v>
      </c>
      <c r="B32" t="s">
        <v>12</v>
      </c>
      <c r="C32">
        <v>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35">
      <c r="A33" t="s">
        <v>16</v>
      </c>
      <c r="B33" t="s">
        <v>13</v>
      </c>
      <c r="C33">
        <v>3</v>
      </c>
      <c r="D33">
        <v>0.51948953971043998</v>
      </c>
      <c r="E33">
        <v>0.17914582644419999</v>
      </c>
      <c r="F33">
        <v>0.13978916178584999</v>
      </c>
      <c r="G33">
        <v>0.54078131680925001</v>
      </c>
      <c r="H33">
        <v>166.75614224705001</v>
      </c>
      <c r="I33">
        <v>57.505810288588997</v>
      </c>
      <c r="J33">
        <v>44.872320933258003</v>
      </c>
      <c r="K33">
        <v>0.33420015008102</v>
      </c>
    </row>
    <row r="34" spans="1:11" x14ac:dyDescent="0.35">
      <c r="A34" t="s">
        <v>11</v>
      </c>
      <c r="B34" t="s">
        <v>12</v>
      </c>
      <c r="C34">
        <v>4</v>
      </c>
      <c r="D34">
        <v>0.29204757415841998</v>
      </c>
      <c r="E34">
        <v>0.10206932065115</v>
      </c>
      <c r="F34">
        <v>8.2876669314661006E-2</v>
      </c>
      <c r="G34">
        <v>0.36845063148969998</v>
      </c>
      <c r="H34">
        <v>93.747271304853001</v>
      </c>
      <c r="I34">
        <v>32.764251929018997</v>
      </c>
      <c r="J34">
        <v>26.603410850006</v>
      </c>
      <c r="K34">
        <v>0.23283929331788999</v>
      </c>
    </row>
    <row r="35" spans="1:11" x14ac:dyDescent="0.35">
      <c r="A35" t="s">
        <v>11</v>
      </c>
      <c r="B35" t="s">
        <v>13</v>
      </c>
      <c r="C35">
        <v>4</v>
      </c>
      <c r="D35">
        <v>0.52847428624920001</v>
      </c>
      <c r="E35">
        <v>0.18743361109319001</v>
      </c>
      <c r="F35">
        <v>0.15260715839019001</v>
      </c>
      <c r="G35">
        <v>19137545583125</v>
      </c>
      <c r="H35">
        <v>169.64024588599</v>
      </c>
      <c r="I35">
        <v>60.166189160915003</v>
      </c>
      <c r="J35">
        <v>48.986897843252002</v>
      </c>
      <c r="K35">
        <v>0.45815231631418002</v>
      </c>
    </row>
    <row r="36" spans="1:11" x14ac:dyDescent="0.35">
      <c r="A36" t="s">
        <v>14</v>
      </c>
      <c r="B36" t="s">
        <v>12</v>
      </c>
      <c r="C36">
        <v>4</v>
      </c>
      <c r="D36">
        <v>0.4654989442686</v>
      </c>
      <c r="E36">
        <v>0.16244525089569001</v>
      </c>
      <c r="F36">
        <v>0.13136265666102001</v>
      </c>
      <c r="G36">
        <v>0.59025921400698</v>
      </c>
      <c r="H36">
        <v>149.42516111021999</v>
      </c>
      <c r="I36">
        <v>52.144925537516002</v>
      </c>
      <c r="J36">
        <v>42.167412788185999</v>
      </c>
      <c r="K36">
        <v>0.37209406949335</v>
      </c>
    </row>
    <row r="37" spans="1:11" x14ac:dyDescent="0.35">
      <c r="A37" t="s">
        <v>14</v>
      </c>
      <c r="B37" t="s">
        <v>13</v>
      </c>
      <c r="C37">
        <v>4</v>
      </c>
      <c r="D37">
        <v>0.37284703290584997</v>
      </c>
      <c r="E37">
        <v>0.16865017761932999</v>
      </c>
      <c r="F37">
        <v>0.13456445134958001</v>
      </c>
      <c r="G37">
        <v>23002106280288</v>
      </c>
      <c r="H37">
        <v>119.68389756278</v>
      </c>
      <c r="I37">
        <v>54.136707015803999</v>
      </c>
      <c r="J37">
        <v>43.195188883214001</v>
      </c>
      <c r="K37">
        <v>0.41179620747114998</v>
      </c>
    </row>
    <row r="38" spans="1:11" x14ac:dyDescent="0.35">
      <c r="A38" t="s">
        <v>15</v>
      </c>
      <c r="B38" t="s">
        <v>12</v>
      </c>
      <c r="C38">
        <v>4</v>
      </c>
      <c r="D38">
        <v>0.48039269791019001</v>
      </c>
      <c r="E38">
        <v>0.16809505134808</v>
      </c>
      <c r="F38">
        <v>0.13610125985702001</v>
      </c>
      <c r="G38">
        <v>0.60082669828074997</v>
      </c>
      <c r="H38">
        <v>154.20605602917001</v>
      </c>
      <c r="I38">
        <v>53.958511482734998</v>
      </c>
      <c r="J38">
        <v>43.688504414104003</v>
      </c>
      <c r="K38">
        <v>0.37974901452968002</v>
      </c>
    </row>
    <row r="39" spans="1:11" x14ac:dyDescent="0.35">
      <c r="A39" t="s">
        <v>15</v>
      </c>
      <c r="B39" t="s">
        <v>13</v>
      </c>
      <c r="C39">
        <v>4</v>
      </c>
      <c r="D39">
        <v>0.37374836081147</v>
      </c>
      <c r="E39">
        <v>0.17231198125227001</v>
      </c>
      <c r="F39">
        <v>0.13809931793176999</v>
      </c>
      <c r="G39">
        <v>23057712033985</v>
      </c>
      <c r="H39">
        <v>119.97322382048</v>
      </c>
      <c r="I39">
        <v>55.312145981980002</v>
      </c>
      <c r="J39">
        <v>44.329881056098003</v>
      </c>
      <c r="K39">
        <v>0.42136867865444</v>
      </c>
    </row>
    <row r="40" spans="1:11" x14ac:dyDescent="0.35">
      <c r="A40" t="s">
        <v>16</v>
      </c>
      <c r="B40" t="s">
        <v>12</v>
      </c>
      <c r="C40">
        <v>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5">
      <c r="A41" t="s">
        <v>16</v>
      </c>
      <c r="B41" t="s">
        <v>13</v>
      </c>
      <c r="C41">
        <v>4</v>
      </c>
      <c r="D41">
        <v>0.59377528291582005</v>
      </c>
      <c r="E41">
        <v>0.19067148254277999</v>
      </c>
      <c r="F41">
        <v>0.15144182464816</v>
      </c>
      <c r="G41">
        <v>22041817031516</v>
      </c>
      <c r="H41">
        <v>190.60186581598001</v>
      </c>
      <c r="I41">
        <v>61.205545896234</v>
      </c>
      <c r="J41">
        <v>48.612825712057997</v>
      </c>
      <c r="K41">
        <v>0.43350569432927999</v>
      </c>
    </row>
    <row r="42" spans="1:11" x14ac:dyDescent="0.35">
      <c r="A42" t="s">
        <v>11</v>
      </c>
      <c r="B42" t="s">
        <v>12</v>
      </c>
      <c r="C42">
        <v>5</v>
      </c>
      <c r="D42">
        <v>0.32037318414750998</v>
      </c>
      <c r="E42">
        <v>0.10233407836567</v>
      </c>
      <c r="F42">
        <v>8.2560105858605001E-2</v>
      </c>
      <c r="G42">
        <v>2512845706820.7998</v>
      </c>
      <c r="H42">
        <v>102.83979211134999</v>
      </c>
      <c r="I42">
        <v>32.849239155380999</v>
      </c>
      <c r="J42">
        <v>26.501793980612</v>
      </c>
      <c r="K42">
        <v>0.23194740915299999</v>
      </c>
    </row>
    <row r="43" spans="1:11" x14ac:dyDescent="0.35">
      <c r="A43" t="s">
        <v>11</v>
      </c>
      <c r="B43" t="s">
        <v>13</v>
      </c>
      <c r="C43">
        <v>5</v>
      </c>
      <c r="D43">
        <v>0.47409200251559003</v>
      </c>
      <c r="E43">
        <v>0.17423994111459001</v>
      </c>
      <c r="F43">
        <v>0.14313333546890999</v>
      </c>
      <c r="G43">
        <v>0.73107041704923004</v>
      </c>
      <c r="H43">
        <v>152.1835328075</v>
      </c>
      <c r="I43">
        <v>55.931021097784999</v>
      </c>
      <c r="J43">
        <v>45.945800685521</v>
      </c>
      <c r="K43">
        <v>0.45969428751362001</v>
      </c>
    </row>
    <row r="44" spans="1:11" x14ac:dyDescent="0.35">
      <c r="A44" t="s">
        <v>14</v>
      </c>
      <c r="B44" t="s">
        <v>12</v>
      </c>
      <c r="C44">
        <v>5</v>
      </c>
      <c r="D44">
        <v>0.49373859250869001</v>
      </c>
      <c r="E44">
        <v>0.16002043984485001</v>
      </c>
      <c r="F44">
        <v>0.12866679025853001</v>
      </c>
      <c r="G44">
        <v>4614914163485.0996</v>
      </c>
      <c r="H44">
        <v>158.49008819529001</v>
      </c>
      <c r="I44">
        <v>51.366561190196997</v>
      </c>
      <c r="J44">
        <v>41.302039672987</v>
      </c>
      <c r="K44">
        <v>0.3631318149303</v>
      </c>
    </row>
    <row r="45" spans="1:11" x14ac:dyDescent="0.35">
      <c r="A45" t="s">
        <v>14</v>
      </c>
      <c r="B45" t="s">
        <v>13</v>
      </c>
      <c r="C45">
        <v>5</v>
      </c>
      <c r="D45">
        <v>0.47991554796731001</v>
      </c>
      <c r="E45">
        <v>0.18124000606068999</v>
      </c>
      <c r="F45">
        <v>0.14828128274155999</v>
      </c>
      <c r="G45">
        <v>0.76065029289492003</v>
      </c>
      <c r="H45">
        <v>154.05289089751</v>
      </c>
      <c r="I45">
        <v>58.178041945483002</v>
      </c>
      <c r="J45">
        <v>47.598291760042002</v>
      </c>
      <c r="K45">
        <v>0.48004776564982998</v>
      </c>
    </row>
    <row r="46" spans="1:11" x14ac:dyDescent="0.35">
      <c r="A46" t="s">
        <v>15</v>
      </c>
      <c r="B46" t="s">
        <v>12</v>
      </c>
      <c r="C46">
        <v>5</v>
      </c>
      <c r="D46">
        <v>0.51082880477468995</v>
      </c>
      <c r="E46">
        <v>0.16419003478819999</v>
      </c>
      <c r="F46">
        <v>0.13147890820186001</v>
      </c>
      <c r="G46">
        <v>4797707475578.5996</v>
      </c>
      <c r="H46">
        <v>163.97604633268</v>
      </c>
      <c r="I46">
        <v>52.705001167013002</v>
      </c>
      <c r="J46">
        <v>42.204729532797998</v>
      </c>
      <c r="K46">
        <v>0.36988781022141998</v>
      </c>
    </row>
    <row r="47" spans="1:11" x14ac:dyDescent="0.35">
      <c r="A47" t="s">
        <v>15</v>
      </c>
      <c r="B47" t="s">
        <v>13</v>
      </c>
      <c r="C47">
        <v>5</v>
      </c>
      <c r="D47">
        <v>0.47648742741525002</v>
      </c>
      <c r="E47">
        <v>0.18632089657025999</v>
      </c>
      <c r="F47">
        <v>0.15362987229566</v>
      </c>
      <c r="G47">
        <v>0.77910994237455</v>
      </c>
      <c r="H47">
        <v>152.9524642003</v>
      </c>
      <c r="I47">
        <v>59.809007799051997</v>
      </c>
      <c r="J47">
        <v>49.315189006908</v>
      </c>
      <c r="K47">
        <v>0.49398139015187997</v>
      </c>
    </row>
    <row r="48" spans="1:11" x14ac:dyDescent="0.35">
      <c r="A48" t="s">
        <v>16</v>
      </c>
      <c r="B48" t="s">
        <v>12</v>
      </c>
      <c r="C48">
        <v>5</v>
      </c>
      <c r="D48">
        <v>0.43387142452562999</v>
      </c>
      <c r="E48">
        <v>0.16405931181155001</v>
      </c>
      <c r="F48">
        <v>0.12952256398803</v>
      </c>
      <c r="G48">
        <v>4794155891537.2002</v>
      </c>
      <c r="H48">
        <v>139.27272727273001</v>
      </c>
      <c r="I48">
        <v>52.663039091507002</v>
      </c>
      <c r="J48">
        <v>41.576743040158</v>
      </c>
      <c r="K48">
        <v>0.36750090658682</v>
      </c>
    </row>
    <row r="49" spans="1:11" x14ac:dyDescent="0.35">
      <c r="A49" t="s">
        <v>16</v>
      </c>
      <c r="B49" t="s">
        <v>13</v>
      </c>
      <c r="C49">
        <v>5</v>
      </c>
      <c r="D49">
        <v>0.52364769187199001</v>
      </c>
      <c r="E49">
        <v>0.17207806853640001</v>
      </c>
      <c r="F49">
        <v>0.14172709038923001</v>
      </c>
      <c r="G49">
        <v>0.71902175723636996</v>
      </c>
      <c r="H49">
        <v>168.09090909091</v>
      </c>
      <c r="I49">
        <v>55.237060000184997</v>
      </c>
      <c r="J49">
        <v>45.494396014944002</v>
      </c>
      <c r="K49">
        <v>0.45155309395845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5D54-ACF6-48FA-96A2-C92AD73BF4BF}">
  <dimension ref="A3:D52"/>
  <sheetViews>
    <sheetView tabSelected="1" topLeftCell="A42" zoomScale="112" zoomScaleNormal="42" workbookViewId="0">
      <selection activeCell="A46" sqref="A46"/>
    </sheetView>
  </sheetViews>
  <sheetFormatPr defaultRowHeight="14.5" x14ac:dyDescent="0.35"/>
  <cols>
    <col min="1" max="1" width="15.1796875" bestFit="1" customWidth="1"/>
    <col min="2" max="2" width="16.36328125" bestFit="1" customWidth="1"/>
    <col min="3" max="4" width="11.81640625" bestFit="1" customWidth="1"/>
  </cols>
  <sheetData>
    <row r="3" spans="1:4" x14ac:dyDescent="0.35">
      <c r="A3" s="4" t="s">
        <v>20</v>
      </c>
      <c r="B3" s="4" t="s">
        <v>19</v>
      </c>
      <c r="C3" s="2"/>
      <c r="D3" s="3"/>
    </row>
    <row r="4" spans="1:4" x14ac:dyDescent="0.35">
      <c r="A4" s="4" t="s">
        <v>17</v>
      </c>
      <c r="B4" s="1" t="s">
        <v>13</v>
      </c>
      <c r="C4" s="5" t="s">
        <v>12</v>
      </c>
      <c r="D4" s="6" t="s">
        <v>18</v>
      </c>
    </row>
    <row r="5" spans="1:4" x14ac:dyDescent="0.35">
      <c r="A5" s="7" t="s">
        <v>14</v>
      </c>
      <c r="B5" s="1">
        <v>54.760961588983172</v>
      </c>
      <c r="C5" s="5">
        <v>51.936060684005838</v>
      </c>
      <c r="D5" s="6">
        <v>53.348511136494501</v>
      </c>
    </row>
    <row r="6" spans="1:4" x14ac:dyDescent="0.35">
      <c r="A6" s="8" t="s">
        <v>16</v>
      </c>
      <c r="B6" s="10">
        <v>58.091705590611497</v>
      </c>
      <c r="C6" s="11">
        <v>8.7771731819178331</v>
      </c>
      <c r="D6" s="12">
        <v>33.434439386264664</v>
      </c>
    </row>
    <row r="7" spans="1:4" x14ac:dyDescent="0.35">
      <c r="A7" s="8" t="s">
        <v>11</v>
      </c>
      <c r="B7" s="10">
        <v>57.524171586758001</v>
      </c>
      <c r="C7" s="11">
        <v>31.349857954312835</v>
      </c>
      <c r="D7" s="12">
        <v>44.43701477053542</v>
      </c>
    </row>
    <row r="8" spans="1:4" x14ac:dyDescent="0.35">
      <c r="A8" s="8" t="s">
        <v>15</v>
      </c>
      <c r="B8" s="10">
        <v>56.451121297781668</v>
      </c>
      <c r="C8" s="11">
        <v>51.872353693692837</v>
      </c>
      <c r="D8" s="12">
        <v>54.161737495737263</v>
      </c>
    </row>
    <row r="9" spans="1:4" x14ac:dyDescent="0.35">
      <c r="A9" s="9" t="s">
        <v>18</v>
      </c>
      <c r="B9" s="13">
        <v>56.706990016033579</v>
      </c>
      <c r="C9" s="14">
        <v>35.983861378482345</v>
      </c>
      <c r="D9" s="15">
        <v>46.345425697257959</v>
      </c>
    </row>
    <row r="12" spans="1:4" x14ac:dyDescent="0.35">
      <c r="A12" s="4" t="s">
        <v>20</v>
      </c>
      <c r="B12" s="4" t="s">
        <v>19</v>
      </c>
      <c r="C12" s="3"/>
    </row>
    <row r="13" spans="1:4" x14ac:dyDescent="0.35">
      <c r="A13" s="4" t="s">
        <v>17</v>
      </c>
      <c r="B13" s="1" t="s">
        <v>13</v>
      </c>
      <c r="C13" s="6" t="s">
        <v>18</v>
      </c>
    </row>
    <row r="14" spans="1:4" x14ac:dyDescent="0.35">
      <c r="A14" s="7" t="s">
        <v>14</v>
      </c>
      <c r="B14" s="1">
        <v>54.760961588983172</v>
      </c>
      <c r="C14" s="6">
        <v>54.760961588983172</v>
      </c>
    </row>
    <row r="15" spans="1:4" x14ac:dyDescent="0.35">
      <c r="A15" s="8" t="s">
        <v>16</v>
      </c>
      <c r="B15" s="10">
        <v>58.091705590611497</v>
      </c>
      <c r="C15" s="12">
        <v>58.091705590611497</v>
      </c>
    </row>
    <row r="16" spans="1:4" x14ac:dyDescent="0.35">
      <c r="A16" s="8" t="s">
        <v>11</v>
      </c>
      <c r="B16" s="10">
        <v>57.524171586757994</v>
      </c>
      <c r="C16" s="12">
        <v>57.524171586757994</v>
      </c>
    </row>
    <row r="17" spans="1:3" x14ac:dyDescent="0.35">
      <c r="A17" s="8" t="s">
        <v>15</v>
      </c>
      <c r="B17" s="10">
        <v>56.451121297781661</v>
      </c>
      <c r="C17" s="12">
        <v>56.451121297781661</v>
      </c>
    </row>
    <row r="18" spans="1:3" x14ac:dyDescent="0.35">
      <c r="A18" s="9" t="s">
        <v>18</v>
      </c>
      <c r="B18" s="13">
        <v>56.706990016033586</v>
      </c>
      <c r="C18" s="15">
        <v>56.706990016033579</v>
      </c>
    </row>
    <row r="29" spans="1:3" x14ac:dyDescent="0.35">
      <c r="A29" s="4" t="s">
        <v>21</v>
      </c>
      <c r="B29" s="4" t="s">
        <v>19</v>
      </c>
      <c r="C29" s="3"/>
    </row>
    <row r="30" spans="1:3" x14ac:dyDescent="0.35">
      <c r="A30" s="4" t="s">
        <v>17</v>
      </c>
      <c r="B30" s="1" t="s">
        <v>13</v>
      </c>
      <c r="C30" s="6" t="s">
        <v>18</v>
      </c>
    </row>
    <row r="31" spans="1:3" x14ac:dyDescent="0.35">
      <c r="A31" s="7" t="s">
        <v>14</v>
      </c>
      <c r="B31" s="1">
        <v>0.39565757950704167</v>
      </c>
      <c r="C31" s="6">
        <v>0.39565757950704167</v>
      </c>
    </row>
    <row r="32" spans="1:3" x14ac:dyDescent="0.35">
      <c r="A32" s="8" t="s">
        <v>16</v>
      </c>
      <c r="B32" s="10">
        <v>0.40099971472549828</v>
      </c>
      <c r="C32" s="12">
        <v>0.40099971472549828</v>
      </c>
    </row>
    <row r="33" spans="1:3" x14ac:dyDescent="0.35">
      <c r="A33" s="8" t="s">
        <v>11</v>
      </c>
      <c r="B33" s="10">
        <v>0.4161361997515784</v>
      </c>
      <c r="C33" s="12">
        <v>0.4161361997515784</v>
      </c>
    </row>
    <row r="34" spans="1:3" x14ac:dyDescent="0.35">
      <c r="A34" s="8" t="s">
        <v>15</v>
      </c>
      <c r="B34" s="10">
        <v>0.40746764256747497</v>
      </c>
      <c r="C34" s="12">
        <v>0.40746764256747497</v>
      </c>
    </row>
    <row r="35" spans="1:3" x14ac:dyDescent="0.35">
      <c r="A35" s="9" t="s">
        <v>18</v>
      </c>
      <c r="B35" s="13">
        <v>0.40506528413789833</v>
      </c>
      <c r="C35" s="15">
        <v>0.40506528413789833</v>
      </c>
    </row>
    <row r="46" spans="1:3" x14ac:dyDescent="0.35">
      <c r="A46" s="4" t="s">
        <v>22</v>
      </c>
      <c r="B46" s="4" t="s">
        <v>19</v>
      </c>
      <c r="C46" s="3"/>
    </row>
    <row r="47" spans="1:3" x14ac:dyDescent="0.35">
      <c r="A47" s="4" t="s">
        <v>17</v>
      </c>
      <c r="B47" s="1" t="s">
        <v>13</v>
      </c>
      <c r="C47" s="6" t="s">
        <v>18</v>
      </c>
    </row>
    <row r="48" spans="1:3" x14ac:dyDescent="0.35">
      <c r="A48" s="7" t="s">
        <v>14</v>
      </c>
      <c r="B48" s="16">
        <v>44.564221358249831</v>
      </c>
      <c r="C48" s="17">
        <v>44.564221358249831</v>
      </c>
    </row>
    <row r="49" spans="1:3" x14ac:dyDescent="0.35">
      <c r="A49" s="8" t="s">
        <v>16</v>
      </c>
      <c r="B49" s="18">
        <v>46.443716208296003</v>
      </c>
      <c r="C49" s="19">
        <v>46.443716208296003</v>
      </c>
    </row>
    <row r="50" spans="1:3" x14ac:dyDescent="0.35">
      <c r="A50" s="8" t="s">
        <v>11</v>
      </c>
      <c r="B50" s="18">
        <v>47.202266107885002</v>
      </c>
      <c r="C50" s="19">
        <v>47.202266107885002</v>
      </c>
    </row>
    <row r="51" spans="1:3" x14ac:dyDescent="0.35">
      <c r="A51" s="8" t="s">
        <v>15</v>
      </c>
      <c r="B51" s="18">
        <v>45.892304071639671</v>
      </c>
      <c r="C51" s="19">
        <v>45.892304071639671</v>
      </c>
    </row>
    <row r="52" spans="1:3" x14ac:dyDescent="0.35">
      <c r="A52" s="9" t="s">
        <v>18</v>
      </c>
      <c r="B52" s="20">
        <v>46.025626936517625</v>
      </c>
      <c r="C52" s="21">
        <v>46.025626936517632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PivotTable</vt:lpstr>
      <vt:lpstr>PivotTable!Print_Titles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Apostolos Sinioris</cp:lastModifiedBy>
  <dcterms:created xsi:type="dcterms:W3CDTF">2026-01-15T10:38:34Z</dcterms:created>
  <dcterms:modified xsi:type="dcterms:W3CDTF">2026-01-16T15:45:46Z</dcterms:modified>
  <cp:category/>
</cp:coreProperties>
</file>