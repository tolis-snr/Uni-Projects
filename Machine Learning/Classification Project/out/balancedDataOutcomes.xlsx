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8d4763b6339bb7b2/Desktop/7ο εξάμηνο/Μηχανική Μάθηση/Εργασίες/1η εργασία/out/"/>
    </mc:Choice>
  </mc:AlternateContent>
  <xr:revisionPtr revIDLastSave="143" documentId="11_212D600F72D71F35E38611A2497243EBD0B3E697" xr6:coauthVersionLast="47" xr6:coauthVersionMax="47" xr10:uidLastSave="{4BC62A46-EE1C-426C-92BC-577673CF0346}"/>
  <bookViews>
    <workbookView xWindow="-110" yWindow="-110" windowWidth="19420" windowHeight="11020" firstSheet="1" activeTab="1" xr2:uid="{00000000-000D-0000-FFFF-FFFF00000000}"/>
  </bookViews>
  <sheets>
    <sheet name="Sheet3" sheetId="4" r:id="rId1"/>
    <sheet name="Data" sheetId="1" r:id="rId2"/>
    <sheet name="Pivot Tables" sheetId="5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2" i="1"/>
</calcChain>
</file>

<file path=xl/sharedStrings.xml><?xml version="1.0" encoding="utf-8"?>
<sst xmlns="http://schemas.openxmlformats.org/spreadsheetml/2006/main" count="257" uniqueCount="34">
  <si>
    <t>Classifier Name</t>
  </si>
  <si>
    <t>Training or Test set</t>
  </si>
  <si>
    <t>Balanced or unbalanced train set</t>
  </si>
  <si>
    <t>Number of training samples</t>
  </si>
  <si>
    <t>Number of non-healthy companies</t>
  </si>
  <si>
    <t>TP</t>
  </si>
  <si>
    <t>TN</t>
  </si>
  <si>
    <t>FP</t>
  </si>
  <si>
    <t>FN</t>
  </si>
  <si>
    <t>ROC-AUC</t>
  </si>
  <si>
    <t>Accuracy</t>
  </si>
  <si>
    <t>Precision</t>
  </si>
  <si>
    <t>Recall</t>
  </si>
  <si>
    <t>F1 Score</t>
  </si>
  <si>
    <t>Fold</t>
  </si>
  <si>
    <t>LDA</t>
  </si>
  <si>
    <t>Train</t>
  </si>
  <si>
    <t>Balanced</t>
  </si>
  <si>
    <t>Test</t>
  </si>
  <si>
    <t>Unbalanced</t>
  </si>
  <si>
    <t>Logistic Regression</t>
  </si>
  <si>
    <t>Decision Tree</t>
  </si>
  <si>
    <t>Random Forest</t>
  </si>
  <si>
    <t>KNN</t>
  </si>
  <si>
    <t>Naive Bayes</t>
  </si>
  <si>
    <t>SVM</t>
  </si>
  <si>
    <t>Gradient Boosting</t>
  </si>
  <si>
    <t>True Negative Rate (TNR - Specificity)</t>
  </si>
  <si>
    <t>False Discovery Rate (FDR - Error Rate)</t>
  </si>
  <si>
    <t>Row Labels</t>
  </si>
  <si>
    <t>Grand Total</t>
  </si>
  <si>
    <t>Average of F1 Score</t>
  </si>
  <si>
    <t>Average of Recall</t>
  </si>
  <si>
    <t>Average of True Negative Rate (TNR - Specificity)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</si>
</sst>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 inden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2" xfId="0" applyNumberFormat="1" applyBorder="1"/>
    <xf numFmtId="0" fontId="0" fillId="0" borderId="8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Σύγκριση</a:t>
            </a:r>
            <a:r>
              <a:rPr lang="el-GR" baseline="0"/>
              <a:t> με βάση το </a:t>
            </a:r>
            <a:r>
              <a:rPr lang="en-US"/>
              <a:t>F1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Average of F1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'Pivot Tables'!$A$17:$A$25</c15:sqref>
                  </c15:fullRef>
                </c:ext>
              </c:extLst>
              <c:f>'Pivot Tables'!$A$18:$A$25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KNN</c:v>
                </c:pt>
                <c:pt idx="3">
                  <c:v>LDA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SVM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'Pivot Tables'!$B$17:$B$25</c15:sqref>
                  </c15:fullRef>
                </c:ext>
              </c:extLst>
              <c:f>'Pivot Tables'!$B$18:$B$25</c:f>
              <c:numCache>
                <c:formatCode>General</c:formatCode>
                <c:ptCount val="8"/>
                <c:pt idx="0">
                  <c:v>0.13844094525266198</c:v>
                </c:pt>
                <c:pt idx="1">
                  <c:v>0.20125076014792501</c:v>
                </c:pt>
                <c:pt idx="2">
                  <c:v>0.15596829056650752</c:v>
                </c:pt>
                <c:pt idx="3">
                  <c:v>0.18270792929447249</c:v>
                </c:pt>
                <c:pt idx="4">
                  <c:v>0.18033370225307252</c:v>
                </c:pt>
                <c:pt idx="5">
                  <c:v>0.15009123163413252</c:v>
                </c:pt>
                <c:pt idx="6">
                  <c:v>0.20969560089033251</c:v>
                </c:pt>
                <c:pt idx="7">
                  <c:v>0.19477573944333249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0-42CD-8561-82FDC3C1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291728"/>
        <c:axId val="1681283088"/>
      </c:barChart>
      <c:catAx>
        <c:axId val="16812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1283088"/>
        <c:crosses val="autoZero"/>
        <c:auto val="1"/>
        <c:lblAlgn val="ctr"/>
        <c:lblOffset val="100"/>
        <c:noMultiLvlLbl val="0"/>
      </c:catAx>
      <c:valAx>
        <c:axId val="16812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129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Σύγκριση</a:t>
            </a:r>
            <a:r>
              <a:rPr lang="el-GR" baseline="0"/>
              <a:t> με το </a:t>
            </a:r>
            <a:r>
              <a:rPr lang="en-US" baseline="0"/>
              <a:t>Recall </a:t>
            </a:r>
            <a:r>
              <a:rPr lang="el-GR" baseline="0"/>
              <a:t>και το </a:t>
            </a:r>
            <a:r>
              <a:rPr lang="en-US" baseline="0"/>
              <a:t>TNR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Average of Recall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'Pivot Tables'!$A$33:$A$41</c15:sqref>
                  </c15:fullRef>
                </c:ext>
              </c:extLst>
              <c:f>'Pivot Tables'!$A$34:$A$41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KNN</c:v>
                </c:pt>
                <c:pt idx="3">
                  <c:v>LDA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SVM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'Pivot Tables'!$B$33:$B$41</c15:sqref>
                  </c15:fullRef>
                </c:ext>
              </c:extLst>
              <c:f>'Pivot Tables'!$B$34:$B$41</c:f>
              <c:numCache>
                <c:formatCode>General</c:formatCode>
                <c:ptCount val="8"/>
                <c:pt idx="0">
                  <c:v>0.46774193548387</c:v>
                </c:pt>
                <c:pt idx="1">
                  <c:v>0.52419354838709498</c:v>
                </c:pt>
                <c:pt idx="2">
                  <c:v>0.47177419354838745</c:v>
                </c:pt>
                <c:pt idx="3">
                  <c:v>0.40322580645161249</c:v>
                </c:pt>
                <c:pt idx="4">
                  <c:v>0.3588709677419375</c:v>
                </c:pt>
                <c:pt idx="5">
                  <c:v>0.5161290322580625</c:v>
                </c:pt>
                <c:pt idx="6">
                  <c:v>0.50403225806451502</c:v>
                </c:pt>
                <c:pt idx="7">
                  <c:v>0.37499999999999745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C-46A2-BC2C-41582E27D2E5}"/>
            </c:ext>
          </c:extLst>
        </c:ser>
        <c:ser>
          <c:idx val="1"/>
          <c:order val="1"/>
          <c:tx>
            <c:strRef>
              <c:f>'Pivot Tables'!$C$32</c:f>
              <c:strCache>
                <c:ptCount val="1"/>
                <c:pt idx="0">
                  <c:v>Average of True Negative Rate (TNR - Specificity)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'Pivot Tables'!$A$33:$A$41</c15:sqref>
                  </c15:fullRef>
                </c:ext>
              </c:extLst>
              <c:f>'Pivot Tables'!$A$34:$A$41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KNN</c:v>
                </c:pt>
                <c:pt idx="3">
                  <c:v>LDA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SVM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'Pivot Tables'!$C$33:$C$41</c15:sqref>
                  </c15:fullRef>
                </c:ext>
              </c:extLst>
              <c:f>'Pivot Tables'!$C$34:$C$41</c:f>
              <c:numCache>
                <c:formatCode>General</c:formatCode>
                <c:ptCount val="8"/>
                <c:pt idx="0">
                  <c:v>0.86606801681314483</c:v>
                </c:pt>
                <c:pt idx="1">
                  <c:v>0.91125334352311804</c:v>
                </c:pt>
                <c:pt idx="2">
                  <c:v>0.89291173098968279</c:v>
                </c:pt>
                <c:pt idx="3">
                  <c:v>0.9294038975926634</c:v>
                </c:pt>
                <c:pt idx="4">
                  <c:v>0.93819258693160101</c:v>
                </c:pt>
                <c:pt idx="5">
                  <c:v>0.87361482613679786</c:v>
                </c:pt>
                <c:pt idx="6">
                  <c:v>0.92137944210928535</c:v>
                </c:pt>
                <c:pt idx="7">
                  <c:v>0.9402942300343905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C-46A2-BC2C-41582E27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125440"/>
        <c:axId val="1687125920"/>
      </c:barChart>
      <c:catAx>
        <c:axId val="168712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7125920"/>
        <c:crosses val="autoZero"/>
        <c:auto val="1"/>
        <c:lblAlgn val="ctr"/>
        <c:lblOffset val="100"/>
        <c:noMultiLvlLbl val="0"/>
      </c:catAx>
      <c:valAx>
        <c:axId val="16871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71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631825</xdr:colOff>
      <xdr:row>15</xdr:row>
      <xdr:rowOff>15875</xdr:rowOff>
    </xdr:from>
    <xdr:to>
      <xdr:col>5</xdr:col>
      <xdr:colOff>504825</xdr:colOff>
      <xdr:row>29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90F682-E89A-8853-C715-1971EE350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1838325</xdr:colOff>
      <xdr:row>30</xdr:row>
      <xdr:rowOff>168275</xdr:rowOff>
    </xdr:from>
    <xdr:to>
      <xdr:col>9</xdr:col>
      <xdr:colOff>479425</xdr:colOff>
      <xdr:row>45</xdr:row>
      <xdr:rowOff>149225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A34CBA-9A59-9AA4-77B5-8D208AD13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ostolos Sinioris" refreshedDate="46031.686465509258" createdVersion="8" refreshedVersion="8" minRefreshableVersion="3" recordCount="64" xr:uid="{611D138D-70D3-49CF-9F9E-0D5BB7FB4028}">
  <cacheSource type="worksheet">
    <worksheetSource ref="A1:Q65" sheet="Data"/>
  </cacheSource>
  <cacheFields count="17">
    <cacheField name="Classifier Name" numFmtId="0">
      <sharedItems count="8">
        <s v="LDA"/>
        <s v="Logistic Regression"/>
        <s v="Decision Tree"/>
        <s v="Random Forest"/>
        <s v="KNN"/>
        <s v="Naive Bayes"/>
        <s v="SVM"/>
        <s v="Gradient Boosting"/>
      </sharedItems>
    </cacheField>
    <cacheField name="Training or Test set" numFmtId="0">
      <sharedItems count="2">
        <s v="Train"/>
        <s v="Test"/>
      </sharedItems>
    </cacheField>
    <cacheField name="Balanced or unbalanced train set" numFmtId="0">
      <sharedItems count="2">
        <s v="Balanced"/>
        <s v="Unbalanced"/>
      </sharedItems>
    </cacheField>
    <cacheField name="Number of training samples" numFmtId="0">
      <sharedItems containsSemiMixedTypes="0" containsString="0" containsNumber="1" containsInteger="1" minValue="744" maxValue="2679"/>
    </cacheField>
    <cacheField name="Number of non-healthy companies" numFmtId="0">
      <sharedItems containsSemiMixedTypes="0" containsString="0" containsNumber="1" containsInteger="1" minValue="62" maxValue="186"/>
    </cacheField>
    <cacheField name="TP" numFmtId="0">
      <sharedItems containsSemiMixedTypes="0" containsString="0" containsNumber="1" containsInteger="1" minValue="14" maxValue="186"/>
    </cacheField>
    <cacheField name="TN" numFmtId="0">
      <sharedItems containsSemiMixedTypes="0" containsString="0" containsNumber="1" containsInteger="1" minValue="484" maxValue="2508"/>
    </cacheField>
    <cacheField name="FP" numFmtId="0">
      <sharedItems containsSemiMixedTypes="0" containsString="0" containsNumber="1" containsInteger="1" minValue="0" maxValue="503"/>
    </cacheField>
    <cacheField name="FN" numFmtId="0">
      <sharedItems containsSemiMixedTypes="0" containsString="0" containsNumber="1" containsInteger="1" minValue="0" maxValue="121"/>
    </cacheField>
    <cacheField name="ROC-AUC" numFmtId="0">
      <sharedItems containsSemiMixedTypes="0" containsString="0" containsNumber="1" minValue="0.67443329594339996" maxValue="1"/>
    </cacheField>
    <cacheField name="Accuracy" numFmtId="0">
      <sharedItems containsSemiMixedTypes="0" containsString="0" containsNumber="1" minValue="0.78091397849461996" maxValue="1"/>
    </cacheField>
    <cacheField name="Precision" numFmtId="0">
      <sharedItems containsSemiMixedTypes="0" containsString="0" containsNumber="1" minValue="5.4511278195489003E-2" maxValue="1"/>
    </cacheField>
    <cacheField name="Recall" numFmtId="0">
      <sharedItems containsSemiMixedTypes="0" containsString="0" containsNumber="1" minValue="0.2258064516129" maxValue="1"/>
    </cacheField>
    <cacheField name="F1 Score" numFmtId="0">
      <sharedItems containsSemiMixedTypes="0" containsString="0" containsNumber="1" minValue="9.7643097643098004E-2" maxValue="1"/>
    </cacheField>
    <cacheField name="True Negative Rate (TNR - Specificity)" numFmtId="0">
      <sharedItems containsSemiMixedTypes="0" containsString="0" containsNumber="1" minValue="0.80779518532671002" maxValue="1"/>
    </cacheField>
    <cacheField name="False Discovery Rate (FDR - Error Rate)" numFmtId="0">
      <sharedItems containsSemiMixedTypes="0" containsString="0" containsNumber="1" minValue="0" maxValue="0.21908602150538004"/>
    </cacheField>
    <cacheField name="Fold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x v="0"/>
    <n v="744"/>
    <n v="186"/>
    <n v="73"/>
    <n v="520"/>
    <n v="38"/>
    <n v="113"/>
    <n v="0.85825914363896005"/>
    <n v="0.79704301075269002"/>
    <n v="0.65765765765766004"/>
    <n v="0.39247311827956999"/>
    <n v="0.49158249158249001"/>
    <n v="0.93189964157706096"/>
    <n v="0.20295698924730998"/>
    <n v="1"/>
  </r>
  <r>
    <x v="0"/>
    <x v="1"/>
    <x v="1"/>
    <n v="2679"/>
    <n v="62"/>
    <n v="27"/>
    <n v="2430"/>
    <n v="187"/>
    <n v="35"/>
    <n v="0.82658054655046997"/>
    <n v="0.91713325867860995"/>
    <n v="0.12616822429906999"/>
    <n v="0.43548387096773999"/>
    <n v="0.19565217391303999"/>
    <n v="0.9285441345051586"/>
    <n v="8.2866741321390047E-2"/>
    <n v="1"/>
  </r>
  <r>
    <x v="1"/>
    <x v="0"/>
    <x v="0"/>
    <n v="744"/>
    <n v="186"/>
    <n v="69"/>
    <n v="527"/>
    <n v="31"/>
    <n v="117"/>
    <n v="0.85485797972791"/>
    <n v="0.80107526881720004"/>
    <n v="0.69"/>
    <n v="0.37096774193547999"/>
    <n v="0.48251748251748"/>
    <n v="0.94444444444444442"/>
    <n v="0.19892473118279996"/>
    <n v="1"/>
  </r>
  <r>
    <x v="1"/>
    <x v="1"/>
    <x v="1"/>
    <n v="2679"/>
    <n v="62"/>
    <n v="28"/>
    <n v="2436"/>
    <n v="181"/>
    <n v="34"/>
    <n v="0.83376064688698004"/>
    <n v="0.91974617394549996"/>
    <n v="0.13397129186602999"/>
    <n v="0.45161290322580999"/>
    <n v="0.20664206642065999"/>
    <n v="0.93083683607183798"/>
    <n v="8.0253826054500044E-2"/>
    <n v="1"/>
  </r>
  <r>
    <x v="2"/>
    <x v="0"/>
    <x v="0"/>
    <n v="744"/>
    <n v="186"/>
    <n v="120"/>
    <n v="533"/>
    <n v="25"/>
    <n v="66"/>
    <n v="0.90758565537442004"/>
    <n v="0.87768817204300997"/>
    <n v="0.82758620689655005"/>
    <n v="0.64516129032257996"/>
    <n v="0.72507552870090997"/>
    <n v="0.95519713261648742"/>
    <n v="0.12231182795699003"/>
    <n v="1"/>
  </r>
  <r>
    <x v="2"/>
    <x v="1"/>
    <x v="1"/>
    <n v="2679"/>
    <n v="62"/>
    <n v="27"/>
    <n v="2337"/>
    <n v="280"/>
    <n v="35"/>
    <n v="0.73659509164643"/>
    <n v="0.88241881298991998"/>
    <n v="8.7947882736156002E-2"/>
    <n v="0.43548387096773999"/>
    <n v="0.14634146341463"/>
    <n v="0.8930072602216278"/>
    <n v="0.11758118701008002"/>
    <n v="1"/>
  </r>
  <r>
    <x v="3"/>
    <x v="0"/>
    <x v="0"/>
    <n v="744"/>
    <n v="186"/>
    <n v="186"/>
    <n v="558"/>
    <n v="0"/>
    <n v="0"/>
    <n v="1"/>
    <n v="1"/>
    <n v="1"/>
    <n v="1"/>
    <n v="1"/>
    <n v="1"/>
    <n v="0"/>
    <n v="1"/>
  </r>
  <r>
    <x v="3"/>
    <x v="1"/>
    <x v="1"/>
    <n v="2679"/>
    <n v="62"/>
    <n v="34"/>
    <n v="2387"/>
    <n v="230"/>
    <n v="28"/>
    <n v="0.84587745140336001"/>
    <n v="0.90369540873459997"/>
    <n v="0.12878787878788001"/>
    <n v="0.54838709677418995"/>
    <n v="0.20858895705520999"/>
    <n v="0.91211310661062284"/>
    <n v="9.630459126540003E-2"/>
    <n v="1"/>
  </r>
  <r>
    <x v="4"/>
    <x v="0"/>
    <x v="0"/>
    <n v="744"/>
    <n v="186"/>
    <n v="116"/>
    <n v="517"/>
    <n v="41"/>
    <n v="70"/>
    <n v="0.91538039079662004"/>
    <n v="0.85080645161290003"/>
    <n v="0.73885350318470999"/>
    <n v="0.62365591397848996"/>
    <n v="0.67638483965014995"/>
    <n v="0.92652329749103945"/>
    <n v="0.14919354838709997"/>
    <n v="1"/>
  </r>
  <r>
    <x v="4"/>
    <x v="1"/>
    <x v="1"/>
    <n v="2679"/>
    <n v="62"/>
    <n v="36"/>
    <n v="2316"/>
    <n v="301"/>
    <n v="26"/>
    <n v="0.82747728869549997"/>
    <n v="0.87793952967525002"/>
    <n v="0.10682492581602"/>
    <n v="0.58064516129031996"/>
    <n v="0.18045112781955"/>
    <n v="0.88498280473824986"/>
    <n v="0.12206047032474998"/>
    <n v="1"/>
  </r>
  <r>
    <x v="5"/>
    <x v="0"/>
    <x v="0"/>
    <n v="744"/>
    <n v="186"/>
    <n v="92"/>
    <n v="492"/>
    <n v="66"/>
    <n v="94"/>
    <n v="0.83651289166377996"/>
    <n v="0.78494623655913998"/>
    <n v="0.58227848101266"/>
    <n v="0.49462365591398"/>
    <n v="0.53488372093022996"/>
    <n v="0.88172043010752688"/>
    <n v="0.21505376344086002"/>
    <n v="1"/>
  </r>
  <r>
    <x v="5"/>
    <x v="1"/>
    <x v="1"/>
    <n v="2679"/>
    <n v="62"/>
    <n v="31"/>
    <n v="2312"/>
    <n v="305"/>
    <n v="31"/>
    <n v="0.82346197936568999"/>
    <n v="0.87458006718924997"/>
    <n v="9.2261904761905003E-2"/>
    <n v="0.5"/>
    <n v="0.15577889447236001"/>
    <n v="0.88345433702713028"/>
    <n v="0.12541993281075003"/>
    <n v="1"/>
  </r>
  <r>
    <x v="6"/>
    <x v="0"/>
    <x v="0"/>
    <n v="744"/>
    <n v="186"/>
    <n v="91"/>
    <n v="532"/>
    <n v="26"/>
    <n v="95"/>
    <n v="0.88753998535475997"/>
    <n v="0.83736559139785005"/>
    <n v="0.77777777777778001"/>
    <n v="0.48924731182796"/>
    <n v="0.60066006600660005"/>
    <n v="0.95340501792114696"/>
    <n v="0.16263440860214995"/>
    <n v="1"/>
  </r>
  <r>
    <x v="6"/>
    <x v="1"/>
    <x v="1"/>
    <n v="2679"/>
    <n v="62"/>
    <n v="32"/>
    <n v="2420"/>
    <n v="197"/>
    <n v="30"/>
    <n v="0.84339677296090998"/>
    <n v="0.91526689063083"/>
    <n v="0.13973799126638001"/>
    <n v="0.51612903225805995"/>
    <n v="0.21993127147766001"/>
    <n v="0.92472296522735953"/>
    <n v="8.4733109369170001E-2"/>
    <n v="1"/>
  </r>
  <r>
    <x v="7"/>
    <x v="0"/>
    <x v="0"/>
    <n v="744"/>
    <n v="186"/>
    <n v="155"/>
    <n v="554"/>
    <n v="4"/>
    <n v="31"/>
    <n v="0.99442132038386"/>
    <n v="0.95295698924730998"/>
    <n v="0.97484276729560004"/>
    <n v="0.83333333333333004"/>
    <n v="0.89855072463768004"/>
    <n v="0.99283154121863804"/>
    <n v="4.7043010752690018E-2"/>
    <n v="1"/>
  </r>
  <r>
    <x v="7"/>
    <x v="1"/>
    <x v="1"/>
    <n v="2679"/>
    <n v="62"/>
    <n v="34"/>
    <n v="2351"/>
    <n v="266"/>
    <n v="28"/>
    <n v="0.83133851861896002"/>
    <n v="0.89025755879058999"/>
    <n v="0.11333333333333"/>
    <n v="0.54838709677418995"/>
    <n v="0.1878453038674"/>
    <n v="0.89835689721054646"/>
    <n v="0.10974244120941001"/>
    <n v="1"/>
  </r>
  <r>
    <x v="0"/>
    <x v="0"/>
    <x v="0"/>
    <n v="744"/>
    <n v="186"/>
    <n v="72"/>
    <n v="525"/>
    <n v="33"/>
    <n v="114"/>
    <n v="0.84241916213820001"/>
    <n v="0.80241935483870996"/>
    <n v="0.68571428571429005"/>
    <n v="0.38709677419354999"/>
    <n v="0.49484536082474001"/>
    <n v="0.94086021505376349"/>
    <n v="0.19758064516129004"/>
    <n v="2"/>
  </r>
  <r>
    <x v="0"/>
    <x v="1"/>
    <x v="1"/>
    <n v="2679"/>
    <n v="62"/>
    <n v="34"/>
    <n v="2425"/>
    <n v="192"/>
    <n v="28"/>
    <n v="0.87626807351436997"/>
    <n v="0.91787980589772"/>
    <n v="0.15044247787611001"/>
    <n v="0.54838709677418995"/>
    <n v="0.23611111111110999"/>
    <n v="0.92663354986625912"/>
    <n v="8.2120194102279997E-2"/>
    <n v="2"/>
  </r>
  <r>
    <x v="1"/>
    <x v="0"/>
    <x v="0"/>
    <n v="744"/>
    <n v="186"/>
    <n v="65"/>
    <n v="530"/>
    <n v="28"/>
    <n v="121"/>
    <n v="0.84080047789724999"/>
    <n v="0.79973118279569999"/>
    <n v="0.69892473118279996"/>
    <n v="0.34946236559139998"/>
    <n v="0.46594982078852998"/>
    <n v="0.94982078853046592"/>
    <n v="0.20026881720430001"/>
    <n v="2"/>
  </r>
  <r>
    <x v="1"/>
    <x v="1"/>
    <x v="1"/>
    <n v="2679"/>
    <n v="62"/>
    <n v="28"/>
    <n v="2471"/>
    <n v="146"/>
    <n v="34"/>
    <n v="0.86733763112157003"/>
    <n v="0.93281075027995997"/>
    <n v="0.16091954022989"/>
    <n v="0.45161290322580999"/>
    <n v="0.23728813559322001"/>
    <n v="0.94421092854413446"/>
    <n v="6.7189249720040034E-2"/>
    <n v="2"/>
  </r>
  <r>
    <x v="2"/>
    <x v="0"/>
    <x v="0"/>
    <n v="744"/>
    <n v="186"/>
    <n v="101"/>
    <n v="542"/>
    <n v="16"/>
    <n v="85"/>
    <n v="0.89785427987820998"/>
    <n v="0.86424731182796"/>
    <n v="0.86324786324785996"/>
    <n v="0.54301075268817001"/>
    <n v="0.66666666666666996"/>
    <n v="0.97132616487455192"/>
    <n v="0.13575268817204"/>
    <n v="2"/>
  </r>
  <r>
    <x v="2"/>
    <x v="1"/>
    <x v="1"/>
    <n v="2679"/>
    <n v="62"/>
    <n v="32"/>
    <n v="2373"/>
    <n v="244"/>
    <n v="30"/>
    <n v="0.77701628311166004"/>
    <n v="0.89772303098171002"/>
    <n v="0.11594202898551"/>
    <n v="0.51612903225805995"/>
    <n v="0.18934911242603999"/>
    <n v="0.90676346962170429"/>
    <n v="0.10227696901828998"/>
    <n v="2"/>
  </r>
  <r>
    <x v="3"/>
    <x v="0"/>
    <x v="0"/>
    <n v="744"/>
    <n v="186"/>
    <n v="186"/>
    <n v="558"/>
    <n v="0"/>
    <n v="0"/>
    <n v="1"/>
    <n v="1"/>
    <n v="1"/>
    <n v="1"/>
    <n v="1"/>
    <n v="1"/>
    <n v="0"/>
    <n v="2"/>
  </r>
  <r>
    <x v="3"/>
    <x v="1"/>
    <x v="1"/>
    <n v="2679"/>
    <n v="62"/>
    <n v="35"/>
    <n v="2416"/>
    <n v="201"/>
    <n v="27"/>
    <n v="0.89186399102642"/>
    <n v="0.91489361702128003"/>
    <n v="0.14830508474576001"/>
    <n v="0.56451612903226001"/>
    <n v="0.23489932885906001"/>
    <n v="0.92319449751623994"/>
    <n v="8.5106382978719974E-2"/>
    <n v="2"/>
  </r>
  <r>
    <x v="4"/>
    <x v="0"/>
    <x v="0"/>
    <n v="744"/>
    <n v="186"/>
    <n v="109"/>
    <n v="519"/>
    <n v="39"/>
    <n v="77"/>
    <n v="0.90326434655259003"/>
    <n v="0.84408602150538004"/>
    <n v="0.73648648648648996"/>
    <n v="0.58602150537634001"/>
    <n v="0.65269461077844004"/>
    <n v="0.93010752688172038"/>
    <n v="0.15591397849461996"/>
    <n v="2"/>
  </r>
  <r>
    <x v="4"/>
    <x v="1"/>
    <x v="1"/>
    <n v="2679"/>
    <n v="62"/>
    <n v="32"/>
    <n v="2346"/>
    <n v="271"/>
    <n v="30"/>
    <n v="0.83473442873518999"/>
    <n v="0.88764464352369998"/>
    <n v="0.10561056105611"/>
    <n v="0.51612903225805995"/>
    <n v="0.17534246575342"/>
    <n v="0.89644631257164697"/>
    <n v="0.11235535647630002"/>
    <n v="2"/>
  </r>
  <r>
    <x v="5"/>
    <x v="0"/>
    <x v="0"/>
    <n v="744"/>
    <n v="186"/>
    <n v="100"/>
    <n v="484"/>
    <n v="74"/>
    <n v="86"/>
    <n v="0.82537480248198003"/>
    <n v="0.78494623655913998"/>
    <n v="0.57471264367816"/>
    <n v="0.53763440860214995"/>
    <n v="0.55555555555556002"/>
    <n v="0.86738351254480284"/>
    <n v="0.21505376344086002"/>
    <n v="2"/>
  </r>
  <r>
    <x v="5"/>
    <x v="1"/>
    <x v="1"/>
    <n v="2679"/>
    <n v="62"/>
    <n v="42"/>
    <n v="2254"/>
    <n v="363"/>
    <n v="20"/>
    <n v="0.84404698805575995"/>
    <n v="0.85703620754012999"/>
    <n v="0.1037037037037"/>
    <n v="0.67741935483870996"/>
    <n v="0.17987152034261"/>
    <n v="0.86129155521589607"/>
    <n v="0.14296379245987001"/>
    <n v="2"/>
  </r>
  <r>
    <x v="6"/>
    <x v="0"/>
    <x v="0"/>
    <n v="744"/>
    <n v="186"/>
    <n v="70"/>
    <n v="543"/>
    <n v="15"/>
    <n v="116"/>
    <n v="0.87662350175356996"/>
    <n v="0.82392473118279996"/>
    <n v="0.82352941176470995"/>
    <n v="0.37634408602150998"/>
    <n v="0.51660516605165996"/>
    <n v="0.9731182795698925"/>
    <n v="0.17607526881720004"/>
    <n v="2"/>
  </r>
  <r>
    <x v="6"/>
    <x v="1"/>
    <x v="1"/>
    <n v="2679"/>
    <n v="62"/>
    <n v="25"/>
    <n v="2508"/>
    <n v="109"/>
    <n v="37"/>
    <n v="0.84266335498663003"/>
    <n v="0.94550205300485002"/>
    <n v="0.18656716417909999"/>
    <n v="0.40322580645160999"/>
    <n v="0.25510204081632998"/>
    <n v="0.95834925487199085"/>
    <n v="5.4497946995149982E-2"/>
    <n v="2"/>
  </r>
  <r>
    <x v="7"/>
    <x v="0"/>
    <x v="0"/>
    <n v="744"/>
    <n v="186"/>
    <n v="157"/>
    <n v="553"/>
    <n v="5"/>
    <n v="29"/>
    <n v="0.98928585192893004"/>
    <n v="0.95430107526882002"/>
    <n v="0.96913580246914"/>
    <n v="0.84408602150538004"/>
    <n v="0.90229885057471004"/>
    <n v="0.99103942652329746"/>
    <n v="4.569892473117998E-2"/>
    <n v="2"/>
  </r>
  <r>
    <x v="7"/>
    <x v="1"/>
    <x v="1"/>
    <n v="2679"/>
    <n v="62"/>
    <n v="42"/>
    <n v="2399"/>
    <n v="218"/>
    <n v="20"/>
    <n v="0.88678861538081999"/>
    <n v="0.91116088092572001"/>
    <n v="0.16153846153845999"/>
    <n v="0.67741935483870996"/>
    <n v="0.26086956521739002"/>
    <n v="0.9166985097439817"/>
    <n v="8.8839119074279993E-2"/>
    <n v="2"/>
  </r>
  <r>
    <x v="0"/>
    <x v="0"/>
    <x v="0"/>
    <n v="744"/>
    <n v="186"/>
    <n v="81"/>
    <n v="527"/>
    <n v="31"/>
    <n v="105"/>
    <n v="0.85779666242726005"/>
    <n v="0.81720430107526998"/>
    <n v="0.72321428571429003"/>
    <n v="0.43548387096773999"/>
    <n v="0.54362416107383005"/>
    <n v="0.94444444444444442"/>
    <n v="0.18279569892473002"/>
    <n v="3"/>
  </r>
  <r>
    <x v="0"/>
    <x v="1"/>
    <x v="1"/>
    <n v="2679"/>
    <n v="62"/>
    <n v="19"/>
    <n v="2426"/>
    <n v="191"/>
    <n v="43"/>
    <n v="0.80696931970860997"/>
    <n v="0.91265397536394"/>
    <n v="9.0476190476190002E-2"/>
    <n v="0.30645161290322998"/>
    <n v="0.13970588235293999"/>
    <n v="0.92701566679403902"/>
    <n v="8.7346024636060005E-2"/>
    <n v="3"/>
  </r>
  <r>
    <x v="1"/>
    <x v="0"/>
    <x v="0"/>
    <n v="744"/>
    <n v="186"/>
    <n v="75"/>
    <n v="531"/>
    <n v="27"/>
    <n v="111"/>
    <n v="0.85850965429529003"/>
    <n v="0.81451612903226001"/>
    <n v="0.73529411764705999"/>
    <n v="0.40322580645160999"/>
    <n v="0.52083333333333004"/>
    <n v="0.95161290322580649"/>
    <n v="0.18548387096773999"/>
    <n v="3"/>
  </r>
  <r>
    <x v="1"/>
    <x v="1"/>
    <x v="1"/>
    <n v="2679"/>
    <n v="62"/>
    <n v="14"/>
    <n v="2451"/>
    <n v="166"/>
    <n v="48"/>
    <n v="0.80348712512480003"/>
    <n v="0.92011944755506003"/>
    <n v="7.7777777777778001E-2"/>
    <n v="0.2258064516129"/>
    <n v="0.11570247933883999"/>
    <n v="0.93656858998853654"/>
    <n v="7.9880552444939967E-2"/>
    <n v="3"/>
  </r>
  <r>
    <x v="2"/>
    <x v="0"/>
    <x v="0"/>
    <n v="744"/>
    <n v="186"/>
    <n v="140"/>
    <n v="498"/>
    <n v="60"/>
    <n v="46"/>
    <n v="0.91771206690562002"/>
    <n v="0.85752688172043001"/>
    <n v="0.7"/>
    <n v="0.75268817204300997"/>
    <n v="0.72538860103627001"/>
    <n v="0.89247311827956988"/>
    <n v="0.14247311827956999"/>
    <n v="3"/>
  </r>
  <r>
    <x v="2"/>
    <x v="1"/>
    <x v="1"/>
    <n v="2679"/>
    <n v="62"/>
    <n v="29"/>
    <n v="2114"/>
    <n v="503"/>
    <n v="33"/>
    <n v="0.67443329594339996"/>
    <n v="0.79992534527809001"/>
    <n v="5.4511278195489003E-2"/>
    <n v="0.46774193548387"/>
    <n v="9.7643097643098004E-2"/>
    <n v="0.80779518532671002"/>
    <n v="0.20007465472190999"/>
    <n v="3"/>
  </r>
  <r>
    <x v="3"/>
    <x v="0"/>
    <x v="0"/>
    <n v="744"/>
    <n v="186"/>
    <n v="186"/>
    <n v="558"/>
    <n v="0"/>
    <n v="0"/>
    <n v="1"/>
    <n v="1"/>
    <n v="1"/>
    <n v="1"/>
    <n v="1"/>
    <n v="1"/>
    <n v="0"/>
    <n v="3"/>
  </r>
  <r>
    <x v="3"/>
    <x v="1"/>
    <x v="1"/>
    <n v="2679"/>
    <n v="62"/>
    <n v="24"/>
    <n v="2403"/>
    <n v="214"/>
    <n v="38"/>
    <n v="0.79587868403860995"/>
    <n v="0.90593505039194"/>
    <n v="0.10084033613445"/>
    <n v="0.38709677419354999"/>
    <n v="0.16"/>
    <n v="0.91822697745510129"/>
    <n v="9.406494960806E-2"/>
    <n v="3"/>
  </r>
  <r>
    <x v="4"/>
    <x v="0"/>
    <x v="0"/>
    <n v="744"/>
    <n v="186"/>
    <n v="118"/>
    <n v="528"/>
    <n v="30"/>
    <n v="68"/>
    <n v="0.92345454195090004"/>
    <n v="0.86827956989247002"/>
    <n v="0.79729729729730003"/>
    <n v="0.63440860215053996"/>
    <n v="0.70658682634730996"/>
    <n v="0.94623655913978499"/>
    <n v="0.13172043010752998"/>
    <n v="3"/>
  </r>
  <r>
    <x v="4"/>
    <x v="1"/>
    <x v="1"/>
    <n v="2679"/>
    <n v="62"/>
    <n v="19"/>
    <n v="2372"/>
    <n v="245"/>
    <n v="43"/>
    <n v="0.72844120946170998"/>
    <n v="0.89249720044793002"/>
    <n v="7.1969696969697003E-2"/>
    <n v="0.30645161290322998"/>
    <n v="0.11656441717791"/>
    <n v="0.90638135269392439"/>
    <n v="0.10750279955206998"/>
    <n v="3"/>
  </r>
  <r>
    <x v="5"/>
    <x v="0"/>
    <x v="0"/>
    <n v="744"/>
    <n v="186"/>
    <n v="86"/>
    <n v="495"/>
    <n v="63"/>
    <n v="100"/>
    <n v="0.84182179057309003"/>
    <n v="0.78091397849461996"/>
    <n v="0.57718120805369"/>
    <n v="0.46236559139785"/>
    <n v="0.51343283582090005"/>
    <n v="0.88709677419354838"/>
    <n v="0.21908602150538004"/>
    <n v="3"/>
  </r>
  <r>
    <x v="5"/>
    <x v="1"/>
    <x v="1"/>
    <n v="2679"/>
    <n v="62"/>
    <n v="23"/>
    <n v="2277"/>
    <n v="340"/>
    <n v="39"/>
    <n v="0.78254465221196001"/>
    <n v="0.85852930197834998"/>
    <n v="6.3360881542700004E-2"/>
    <n v="0.37096774193547999"/>
    <n v="0.10823529411765"/>
    <n v="0.87008024455483379"/>
    <n v="0.14147069802165002"/>
    <n v="3"/>
  </r>
  <r>
    <x v="6"/>
    <x v="0"/>
    <x v="0"/>
    <n v="744"/>
    <n v="186"/>
    <n v="92"/>
    <n v="533"/>
    <n v="25"/>
    <n v="94"/>
    <n v="0.88857093305584001"/>
    <n v="0.84005376344086002"/>
    <n v="0.78632478632478997"/>
    <n v="0.49462365591398"/>
    <n v="0.60726072607260995"/>
    <n v="0.95519713261648742"/>
    <n v="0.15994623655913998"/>
    <n v="3"/>
  </r>
  <r>
    <x v="6"/>
    <x v="1"/>
    <x v="1"/>
    <n v="2679"/>
    <n v="62"/>
    <n v="15"/>
    <n v="2442"/>
    <n v="175"/>
    <n v="47"/>
    <n v="0.77652631059943"/>
    <n v="0.91713325867860995"/>
    <n v="7.8947368421053002E-2"/>
    <n v="0.24193548387097"/>
    <n v="0.11904761904762"/>
    <n v="0.93312953763851736"/>
    <n v="8.2866741321390047E-2"/>
    <n v="3"/>
  </r>
  <r>
    <x v="7"/>
    <x v="0"/>
    <x v="0"/>
    <n v="744"/>
    <n v="186"/>
    <n v="159"/>
    <n v="553"/>
    <n v="5"/>
    <n v="27"/>
    <n v="0.99249431533511001"/>
    <n v="0.95698924731182999"/>
    <n v="0.96951219512194997"/>
    <n v="0.85483870967742004"/>
    <n v="0.90857142857143003"/>
    <n v="0.99103942652329746"/>
    <n v="4.3010752688170006E-2"/>
    <n v="3"/>
  </r>
  <r>
    <x v="7"/>
    <x v="1"/>
    <x v="1"/>
    <n v="2679"/>
    <n v="62"/>
    <n v="21"/>
    <n v="2361"/>
    <n v="256"/>
    <n v="41"/>
    <n v="0.77687144846968004"/>
    <n v="0.88913773796192996"/>
    <n v="7.5812274368231E-2"/>
    <n v="0.33870967741934999"/>
    <n v="0.12389380530973"/>
    <n v="0.90217806648834542"/>
    <n v="0.11086226203807004"/>
    <n v="3"/>
  </r>
  <r>
    <x v="0"/>
    <x v="0"/>
    <x v="0"/>
    <n v="744"/>
    <n v="186"/>
    <n v="75"/>
    <n v="526"/>
    <n v="32"/>
    <n v="111"/>
    <n v="0.8367826723706"/>
    <n v="0.80779569892473002"/>
    <n v="0.70093457943924997"/>
    <n v="0.40322580645160999"/>
    <n v="0.51194539249146997"/>
    <n v="0.94265232974910396"/>
    <n v="0.19220430107526998"/>
    <n v="4"/>
  </r>
  <r>
    <x v="0"/>
    <x v="1"/>
    <x v="1"/>
    <n v="2679"/>
    <n v="62"/>
    <n v="20"/>
    <n v="2448"/>
    <n v="169"/>
    <n v="42"/>
    <n v="0.85335338420008"/>
    <n v="0.92123926838373005"/>
    <n v="0.10582010582011001"/>
    <n v="0.32258064516128998"/>
    <n v="0.1593625498008"/>
    <n v="0.93542223920519674"/>
    <n v="7.8760731616269952E-2"/>
    <n v="4"/>
  </r>
  <r>
    <x v="1"/>
    <x v="0"/>
    <x v="0"/>
    <n v="744"/>
    <n v="186"/>
    <n v="69"/>
    <n v="531"/>
    <n v="27"/>
    <n v="117"/>
    <n v="0.83355493891393995"/>
    <n v="0.80645161290322998"/>
    <n v="0.71875"/>
    <n v="0.37096774193547999"/>
    <n v="0.48936170212766"/>
    <n v="0.95161290322580649"/>
    <n v="0.19354838709677002"/>
    <n v="4"/>
  </r>
  <r>
    <x v="1"/>
    <x v="1"/>
    <x v="1"/>
    <n v="2679"/>
    <n v="62"/>
    <n v="19"/>
    <n v="2463"/>
    <n v="154"/>
    <n v="43"/>
    <n v="0.84731347147066005"/>
    <n v="0.92646509891751005"/>
    <n v="0.10982658959538"/>
    <n v="0.30645161290322998"/>
    <n v="0.16170212765957001"/>
    <n v="0.94115399312189529"/>
    <n v="7.3534901082489945E-2"/>
    <n v="4"/>
  </r>
  <r>
    <x v="2"/>
    <x v="0"/>
    <x v="0"/>
    <n v="744"/>
    <n v="186"/>
    <n v="137"/>
    <n v="517"/>
    <n v="41"/>
    <n v="49"/>
    <n v="0.91328959031873003"/>
    <n v="0.87903225806452001"/>
    <n v="0.76966292134831005"/>
    <n v="0.73655913978495002"/>
    <n v="0.75274725274724996"/>
    <n v="0.92652329749103945"/>
    <n v="0.12096774193547999"/>
    <n v="4"/>
  </r>
  <r>
    <x v="2"/>
    <x v="1"/>
    <x v="1"/>
    <n v="2679"/>
    <n v="62"/>
    <n v="28"/>
    <n v="2242"/>
    <n v="375"/>
    <n v="34"/>
    <n v="0.74120822907293005"/>
    <n v="0.84733109369168003"/>
    <n v="6.9478908188586E-2"/>
    <n v="0.45161290322580999"/>
    <n v="0.12043010752688001"/>
    <n v="0.85670615208253731"/>
    <n v="0.15266890630831997"/>
    <n v="4"/>
  </r>
  <r>
    <x v="3"/>
    <x v="0"/>
    <x v="0"/>
    <n v="744"/>
    <n v="186"/>
    <n v="186"/>
    <n v="558"/>
    <n v="0"/>
    <n v="0"/>
    <n v="1"/>
    <n v="1"/>
    <n v="1"/>
    <n v="1"/>
    <n v="1"/>
    <n v="1"/>
    <n v="0"/>
    <n v="4"/>
  </r>
  <r>
    <x v="3"/>
    <x v="1"/>
    <x v="1"/>
    <n v="2679"/>
    <n v="62"/>
    <n v="32"/>
    <n v="2439"/>
    <n v="178"/>
    <n v="30"/>
    <n v="0.87522649672734998"/>
    <n v="0.92235908921238996"/>
    <n v="0.15238095238095001"/>
    <n v="0.51612903225805995"/>
    <n v="0.23529411764706001"/>
    <n v="0.93198318685517767"/>
    <n v="7.764091078761004E-2"/>
    <n v="4"/>
  </r>
  <r>
    <x v="4"/>
    <x v="0"/>
    <x v="0"/>
    <n v="744"/>
    <n v="186"/>
    <n v="110"/>
    <n v="522"/>
    <n v="36"/>
    <n v="76"/>
    <n v="0.91313542991482999"/>
    <n v="0.84946236559139998"/>
    <n v="0.75342465753425003"/>
    <n v="0.59139784946236995"/>
    <n v="0.66265060240964002"/>
    <n v="0.93548387096774188"/>
    <n v="0.15053763440860002"/>
    <n v="4"/>
  </r>
  <r>
    <x v="4"/>
    <x v="1"/>
    <x v="1"/>
    <n v="2679"/>
    <n v="62"/>
    <n v="30"/>
    <n v="2313"/>
    <n v="304"/>
    <n v="32"/>
    <n v="0.79072626868982998"/>
    <n v="0.87458006718924997"/>
    <n v="8.9820359281437001E-2"/>
    <n v="0.48387096774193999"/>
    <n v="0.15151515151514999"/>
    <n v="0.88383645395491017"/>
    <n v="0.12541993281075003"/>
    <n v="4"/>
  </r>
  <r>
    <x v="5"/>
    <x v="0"/>
    <x v="0"/>
    <n v="744"/>
    <n v="186"/>
    <n v="94"/>
    <n v="490"/>
    <n v="68"/>
    <n v="92"/>
    <n v="0.81393802751763"/>
    <n v="0.78494623655913998"/>
    <n v="0.58024691358025005"/>
    <n v="0.50537634408601995"/>
    <n v="0.54022988505747005"/>
    <n v="0.87813620071684584"/>
    <n v="0.21505376344086002"/>
    <n v="4"/>
  </r>
  <r>
    <x v="5"/>
    <x v="1"/>
    <x v="1"/>
    <n v="2679"/>
    <n v="62"/>
    <n v="32"/>
    <n v="2302"/>
    <n v="315"/>
    <n v="30"/>
    <n v="0.83824127602401"/>
    <n v="0.87122060470325002"/>
    <n v="9.2219020172911004E-2"/>
    <n v="0.51612903225805995"/>
    <n v="0.15647921760391001"/>
    <n v="0.87963316774933131"/>
    <n v="0.12877939529674998"/>
    <n v="4"/>
  </r>
  <r>
    <x v="6"/>
    <x v="0"/>
    <x v="0"/>
    <n v="744"/>
    <n v="186"/>
    <n v="81"/>
    <n v="535"/>
    <n v="23"/>
    <n v="105"/>
    <n v="0.88342582957566995"/>
    <n v="0.82795698924730998"/>
    <n v="0.77884615384614997"/>
    <n v="0.43548387096773999"/>
    <n v="0.55862068965516998"/>
    <n v="0.95878136200716846"/>
    <n v="0.17204301075269002"/>
    <n v="4"/>
  </r>
  <r>
    <x v="6"/>
    <x v="1"/>
    <x v="1"/>
    <n v="2679"/>
    <n v="62"/>
    <n v="21"/>
    <n v="2473"/>
    <n v="144"/>
    <n v="41"/>
    <n v="0.84484820096885005"/>
    <n v="0.93094438223218001"/>
    <n v="0.12727272727273001"/>
    <n v="0.33870967741934999"/>
    <n v="0.18502202643172"/>
    <n v="0.94497516239969426"/>
    <n v="6.9055617767819988E-2"/>
    <n v="4"/>
  </r>
  <r>
    <x v="7"/>
    <x v="0"/>
    <x v="0"/>
    <n v="744"/>
    <n v="186"/>
    <n v="154"/>
    <n v="553"/>
    <n v="5"/>
    <n v="32"/>
    <n v="0.99259066558754006"/>
    <n v="0.95026881720430001"/>
    <n v="0.96855345911949997"/>
    <n v="0.82795698924730998"/>
    <n v="0.89275362318841001"/>
    <n v="0.99103942652329746"/>
    <n v="4.9731182795699991E-2"/>
    <n v="4"/>
  </r>
  <r>
    <x v="7"/>
    <x v="1"/>
    <x v="1"/>
    <n v="2679"/>
    <n v="62"/>
    <n v="33"/>
    <n v="2428"/>
    <n v="189"/>
    <n v="29"/>
    <n v="0.86747938417543002"/>
    <n v="0.91862635311683005"/>
    <n v="0.14864864864864999"/>
    <n v="0.53225806451613"/>
    <n v="0.23239436619718001"/>
    <n v="0.92777990064959881"/>
    <n v="8.1373646883169948E-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D3704-F275-4D54-91A6-9F25AAB8CCC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3" firstHeaderRow="1" firstDataRow="1" firstDataCol="1"/>
  <pivotFields count="17">
    <pivotField axis="axisRow" showAll="0">
      <items count="9">
        <item x="2"/>
        <item x="7"/>
        <item x="4"/>
        <item x="0"/>
        <item x="1"/>
        <item x="5"/>
        <item x="3"/>
        <item x="6"/>
        <item t="default"/>
      </items>
    </pivotField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8806B-CF4A-4062-99AE-6184B07F1FFE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13" firstHeaderRow="0" firstDataRow="1" firstDataCol="1"/>
  <pivotFields count="17">
    <pivotField axis="axisRow" showAll="0">
      <items count="9">
        <item x="2"/>
        <item x="7"/>
        <item x="4"/>
        <item x="0"/>
        <item x="1"/>
        <item x="5"/>
        <item x="3"/>
        <item x="6"/>
        <item t="default"/>
      </items>
    </pivotField>
    <pivotField axis="axisRow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2">
    <field x="1"/>
    <field x="0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call" fld="12" subtotal="average" baseField="1" baseItem="0"/>
    <dataField name="Average of F1 Score" fld="13" subtotal="average" baseField="1" baseItem="0"/>
    <dataField name="Average of True Negative Rate (TNR - Specificity)" fld="14" subtotal="average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DA8B-E942-455F-BA59-6ABA6B8B6302}">
  <dimension ref="A3:A13"/>
  <sheetViews>
    <sheetView workbookViewId="0">
      <selection activeCell="A3" sqref="A3"/>
    </sheetView>
  </sheetViews>
  <sheetFormatPr defaultRowHeight="14.5" x14ac:dyDescent="0.35"/>
  <cols>
    <col min="1" max="1" width="20.26953125" bestFit="1" customWidth="1"/>
  </cols>
  <sheetData>
    <row r="3" spans="1:1" x14ac:dyDescent="0.35">
      <c r="A3" s="3" t="s">
        <v>29</v>
      </c>
    </row>
    <row r="4" spans="1:1" x14ac:dyDescent="0.35">
      <c r="A4" s="4" t="s">
        <v>18</v>
      </c>
    </row>
    <row r="5" spans="1:1" x14ac:dyDescent="0.35">
      <c r="A5" s="6" t="s">
        <v>21</v>
      </c>
    </row>
    <row r="6" spans="1:1" x14ac:dyDescent="0.35">
      <c r="A6" s="6" t="s">
        <v>26</v>
      </c>
    </row>
    <row r="7" spans="1:1" x14ac:dyDescent="0.35">
      <c r="A7" s="6" t="s">
        <v>23</v>
      </c>
    </row>
    <row r="8" spans="1:1" x14ac:dyDescent="0.35">
      <c r="A8" s="6" t="s">
        <v>15</v>
      </c>
    </row>
    <row r="9" spans="1:1" x14ac:dyDescent="0.35">
      <c r="A9" s="6" t="s">
        <v>20</v>
      </c>
    </row>
    <row r="10" spans="1:1" x14ac:dyDescent="0.35">
      <c r="A10" s="6" t="s">
        <v>24</v>
      </c>
    </row>
    <row r="11" spans="1:1" x14ac:dyDescent="0.35">
      <c r="A11" s="6" t="s">
        <v>22</v>
      </c>
    </row>
    <row r="12" spans="1:1" x14ac:dyDescent="0.35">
      <c r="A12" s="6" t="s">
        <v>25</v>
      </c>
    </row>
    <row r="13" spans="1:1" x14ac:dyDescent="0.35">
      <c r="A13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selection activeCell="F2" sqref="F2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14</v>
      </c>
    </row>
    <row r="2" spans="1:17" x14ac:dyDescent="0.35">
      <c r="A2" t="s">
        <v>15</v>
      </c>
      <c r="B2" t="s">
        <v>16</v>
      </c>
      <c r="C2" t="s">
        <v>17</v>
      </c>
      <c r="D2">
        <v>744</v>
      </c>
      <c r="E2">
        <v>186</v>
      </c>
      <c r="F2">
        <v>73</v>
      </c>
      <c r="G2">
        <v>520</v>
      </c>
      <c r="H2">
        <v>38</v>
      </c>
      <c r="I2">
        <v>113</v>
      </c>
      <c r="J2">
        <v>0.85825914363896005</v>
      </c>
      <c r="K2">
        <v>0.79704301075269002</v>
      </c>
      <c r="L2">
        <v>0.65765765765766004</v>
      </c>
      <c r="M2">
        <v>0.39247311827956999</v>
      </c>
      <c r="N2">
        <v>0.49158249158249001</v>
      </c>
      <c r="O2">
        <f>(G2)/(G2+H2)</f>
        <v>0.93189964157706096</v>
      </c>
      <c r="P2">
        <f>1-K2</f>
        <v>0.20295698924730998</v>
      </c>
      <c r="Q2">
        <v>1</v>
      </c>
    </row>
    <row r="3" spans="1:17" x14ac:dyDescent="0.35">
      <c r="A3" t="s">
        <v>15</v>
      </c>
      <c r="B3" t="s">
        <v>18</v>
      </c>
      <c r="C3" t="s">
        <v>19</v>
      </c>
      <c r="D3">
        <v>2679</v>
      </c>
      <c r="E3">
        <v>62</v>
      </c>
      <c r="F3">
        <v>27</v>
      </c>
      <c r="G3">
        <v>2430</v>
      </c>
      <c r="H3">
        <v>187</v>
      </c>
      <c r="I3">
        <v>35</v>
      </c>
      <c r="J3">
        <v>0.82658054655046997</v>
      </c>
      <c r="K3">
        <v>0.91713325867860995</v>
      </c>
      <c r="L3">
        <v>0.12616822429906999</v>
      </c>
      <c r="M3">
        <v>0.43548387096773999</v>
      </c>
      <c r="N3">
        <v>0.19565217391303999</v>
      </c>
      <c r="O3">
        <f t="shared" ref="O3:O65" si="0">(G3)/(G3+H3)</f>
        <v>0.9285441345051586</v>
      </c>
      <c r="P3">
        <f t="shared" ref="P3:P65" si="1">1-K3</f>
        <v>8.2866741321390047E-2</v>
      </c>
      <c r="Q3">
        <v>1</v>
      </c>
    </row>
    <row r="4" spans="1:17" x14ac:dyDescent="0.35">
      <c r="A4" t="s">
        <v>20</v>
      </c>
      <c r="B4" t="s">
        <v>16</v>
      </c>
      <c r="C4" t="s">
        <v>17</v>
      </c>
      <c r="D4">
        <v>744</v>
      </c>
      <c r="E4">
        <v>186</v>
      </c>
      <c r="F4">
        <v>69</v>
      </c>
      <c r="G4">
        <v>527</v>
      </c>
      <c r="H4">
        <v>31</v>
      </c>
      <c r="I4">
        <v>117</v>
      </c>
      <c r="J4">
        <v>0.85485797972791</v>
      </c>
      <c r="K4">
        <v>0.80107526881720004</v>
      </c>
      <c r="L4">
        <v>0.69</v>
      </c>
      <c r="M4">
        <v>0.37096774193547999</v>
      </c>
      <c r="N4">
        <v>0.48251748251748</v>
      </c>
      <c r="O4">
        <f t="shared" si="0"/>
        <v>0.94444444444444442</v>
      </c>
      <c r="P4">
        <f t="shared" si="1"/>
        <v>0.19892473118279996</v>
      </c>
      <c r="Q4">
        <v>1</v>
      </c>
    </row>
    <row r="5" spans="1:17" x14ac:dyDescent="0.35">
      <c r="A5" t="s">
        <v>20</v>
      </c>
      <c r="B5" t="s">
        <v>18</v>
      </c>
      <c r="C5" t="s">
        <v>19</v>
      </c>
      <c r="D5">
        <v>2679</v>
      </c>
      <c r="E5">
        <v>62</v>
      </c>
      <c r="F5">
        <v>28</v>
      </c>
      <c r="G5">
        <v>2436</v>
      </c>
      <c r="H5">
        <v>181</v>
      </c>
      <c r="I5">
        <v>34</v>
      </c>
      <c r="J5">
        <v>0.83376064688698004</v>
      </c>
      <c r="K5">
        <v>0.91974617394549996</v>
      </c>
      <c r="L5">
        <v>0.13397129186602999</v>
      </c>
      <c r="M5">
        <v>0.45161290322580999</v>
      </c>
      <c r="N5">
        <v>0.20664206642065999</v>
      </c>
      <c r="O5">
        <f t="shared" si="0"/>
        <v>0.93083683607183798</v>
      </c>
      <c r="P5">
        <f t="shared" si="1"/>
        <v>8.0253826054500044E-2</v>
      </c>
      <c r="Q5">
        <v>1</v>
      </c>
    </row>
    <row r="6" spans="1:17" x14ac:dyDescent="0.35">
      <c r="A6" t="s">
        <v>21</v>
      </c>
      <c r="B6" t="s">
        <v>16</v>
      </c>
      <c r="C6" t="s">
        <v>17</v>
      </c>
      <c r="D6">
        <v>744</v>
      </c>
      <c r="E6">
        <v>186</v>
      </c>
      <c r="F6">
        <v>120</v>
      </c>
      <c r="G6">
        <v>533</v>
      </c>
      <c r="H6">
        <v>25</v>
      </c>
      <c r="I6">
        <v>66</v>
      </c>
      <c r="J6">
        <v>0.90758565537442004</v>
      </c>
      <c r="K6">
        <v>0.87768817204300997</v>
      </c>
      <c r="L6">
        <v>0.82758620689655005</v>
      </c>
      <c r="M6">
        <v>0.64516129032257996</v>
      </c>
      <c r="N6">
        <v>0.72507552870090997</v>
      </c>
      <c r="O6">
        <f t="shared" si="0"/>
        <v>0.95519713261648742</v>
      </c>
      <c r="P6">
        <f t="shared" si="1"/>
        <v>0.12231182795699003</v>
      </c>
      <c r="Q6">
        <v>1</v>
      </c>
    </row>
    <row r="7" spans="1:17" x14ac:dyDescent="0.35">
      <c r="A7" t="s">
        <v>21</v>
      </c>
      <c r="B7" t="s">
        <v>18</v>
      </c>
      <c r="C7" t="s">
        <v>19</v>
      </c>
      <c r="D7">
        <v>2679</v>
      </c>
      <c r="E7">
        <v>62</v>
      </c>
      <c r="F7">
        <v>27</v>
      </c>
      <c r="G7">
        <v>2337</v>
      </c>
      <c r="H7">
        <v>280</v>
      </c>
      <c r="I7">
        <v>35</v>
      </c>
      <c r="J7">
        <v>0.73659509164643</v>
      </c>
      <c r="K7">
        <v>0.88241881298991998</v>
      </c>
      <c r="L7">
        <v>8.7947882736156002E-2</v>
      </c>
      <c r="M7">
        <v>0.43548387096773999</v>
      </c>
      <c r="N7">
        <v>0.14634146341463</v>
      </c>
      <c r="O7">
        <f t="shared" si="0"/>
        <v>0.8930072602216278</v>
      </c>
      <c r="P7">
        <f t="shared" si="1"/>
        <v>0.11758118701008002</v>
      </c>
      <c r="Q7">
        <v>1</v>
      </c>
    </row>
    <row r="8" spans="1:17" x14ac:dyDescent="0.35">
      <c r="A8" t="s">
        <v>22</v>
      </c>
      <c r="B8" t="s">
        <v>16</v>
      </c>
      <c r="C8" t="s">
        <v>17</v>
      </c>
      <c r="D8">
        <v>744</v>
      </c>
      <c r="E8">
        <v>186</v>
      </c>
      <c r="F8">
        <v>186</v>
      </c>
      <c r="G8">
        <v>558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f t="shared" si="0"/>
        <v>1</v>
      </c>
      <c r="P8">
        <f t="shared" si="1"/>
        <v>0</v>
      </c>
      <c r="Q8">
        <v>1</v>
      </c>
    </row>
    <row r="9" spans="1:17" x14ac:dyDescent="0.35">
      <c r="A9" t="s">
        <v>22</v>
      </c>
      <c r="B9" t="s">
        <v>18</v>
      </c>
      <c r="C9" t="s">
        <v>19</v>
      </c>
      <c r="D9">
        <v>2679</v>
      </c>
      <c r="E9">
        <v>62</v>
      </c>
      <c r="F9">
        <v>34</v>
      </c>
      <c r="G9">
        <v>2387</v>
      </c>
      <c r="H9">
        <v>230</v>
      </c>
      <c r="I9">
        <v>28</v>
      </c>
      <c r="J9">
        <v>0.84587745140336001</v>
      </c>
      <c r="K9">
        <v>0.90369540873459997</v>
      </c>
      <c r="L9">
        <v>0.12878787878788001</v>
      </c>
      <c r="M9">
        <v>0.54838709677418995</v>
      </c>
      <c r="N9">
        <v>0.20858895705520999</v>
      </c>
      <c r="O9">
        <f t="shared" si="0"/>
        <v>0.91211310661062284</v>
      </c>
      <c r="P9">
        <f t="shared" si="1"/>
        <v>9.630459126540003E-2</v>
      </c>
      <c r="Q9">
        <v>1</v>
      </c>
    </row>
    <row r="10" spans="1:17" x14ac:dyDescent="0.35">
      <c r="A10" t="s">
        <v>23</v>
      </c>
      <c r="B10" t="s">
        <v>16</v>
      </c>
      <c r="C10" t="s">
        <v>17</v>
      </c>
      <c r="D10">
        <v>744</v>
      </c>
      <c r="E10">
        <v>186</v>
      </c>
      <c r="F10">
        <v>116</v>
      </c>
      <c r="G10">
        <v>517</v>
      </c>
      <c r="H10">
        <v>41</v>
      </c>
      <c r="I10">
        <v>70</v>
      </c>
      <c r="J10">
        <v>0.91538039079662004</v>
      </c>
      <c r="K10">
        <v>0.85080645161290003</v>
      </c>
      <c r="L10">
        <v>0.73885350318470999</v>
      </c>
      <c r="M10">
        <v>0.62365591397848996</v>
      </c>
      <c r="N10">
        <v>0.67638483965014995</v>
      </c>
      <c r="O10">
        <f t="shared" si="0"/>
        <v>0.92652329749103945</v>
      </c>
      <c r="P10">
        <f t="shared" si="1"/>
        <v>0.14919354838709997</v>
      </c>
      <c r="Q10">
        <v>1</v>
      </c>
    </row>
    <row r="11" spans="1:17" x14ac:dyDescent="0.35">
      <c r="A11" t="s">
        <v>23</v>
      </c>
      <c r="B11" t="s">
        <v>18</v>
      </c>
      <c r="C11" t="s">
        <v>19</v>
      </c>
      <c r="D11">
        <v>2679</v>
      </c>
      <c r="E11">
        <v>62</v>
      </c>
      <c r="F11">
        <v>36</v>
      </c>
      <c r="G11">
        <v>2316</v>
      </c>
      <c r="H11">
        <v>301</v>
      </c>
      <c r="I11">
        <v>26</v>
      </c>
      <c r="J11">
        <v>0.82747728869549997</v>
      </c>
      <c r="K11">
        <v>0.87793952967525002</v>
      </c>
      <c r="L11">
        <v>0.10682492581602</v>
      </c>
      <c r="M11">
        <v>0.58064516129031996</v>
      </c>
      <c r="N11">
        <v>0.18045112781955</v>
      </c>
      <c r="O11">
        <f t="shared" si="0"/>
        <v>0.88498280473824986</v>
      </c>
      <c r="P11">
        <f t="shared" si="1"/>
        <v>0.12206047032474998</v>
      </c>
      <c r="Q11">
        <v>1</v>
      </c>
    </row>
    <row r="12" spans="1:17" x14ac:dyDescent="0.35">
      <c r="A12" t="s">
        <v>24</v>
      </c>
      <c r="B12" t="s">
        <v>16</v>
      </c>
      <c r="C12" t="s">
        <v>17</v>
      </c>
      <c r="D12">
        <v>744</v>
      </c>
      <c r="E12">
        <v>186</v>
      </c>
      <c r="F12">
        <v>92</v>
      </c>
      <c r="G12">
        <v>492</v>
      </c>
      <c r="H12">
        <v>66</v>
      </c>
      <c r="I12">
        <v>94</v>
      </c>
      <c r="J12">
        <v>0.83651289166377996</v>
      </c>
      <c r="K12">
        <v>0.78494623655913998</v>
      </c>
      <c r="L12">
        <v>0.58227848101266</v>
      </c>
      <c r="M12">
        <v>0.49462365591398</v>
      </c>
      <c r="N12">
        <v>0.53488372093022996</v>
      </c>
      <c r="O12">
        <f t="shared" si="0"/>
        <v>0.88172043010752688</v>
      </c>
      <c r="P12">
        <f t="shared" si="1"/>
        <v>0.21505376344086002</v>
      </c>
      <c r="Q12">
        <v>1</v>
      </c>
    </row>
    <row r="13" spans="1:17" x14ac:dyDescent="0.35">
      <c r="A13" t="s">
        <v>24</v>
      </c>
      <c r="B13" t="s">
        <v>18</v>
      </c>
      <c r="C13" t="s">
        <v>19</v>
      </c>
      <c r="D13">
        <v>2679</v>
      </c>
      <c r="E13">
        <v>62</v>
      </c>
      <c r="F13">
        <v>31</v>
      </c>
      <c r="G13">
        <v>2312</v>
      </c>
      <c r="H13">
        <v>305</v>
      </c>
      <c r="I13">
        <v>31</v>
      </c>
      <c r="J13">
        <v>0.82346197936568999</v>
      </c>
      <c r="K13">
        <v>0.87458006718924997</v>
      </c>
      <c r="L13">
        <v>9.2261904761905003E-2</v>
      </c>
      <c r="M13">
        <v>0.5</v>
      </c>
      <c r="N13">
        <v>0.15577889447236001</v>
      </c>
      <c r="O13">
        <f t="shared" si="0"/>
        <v>0.88345433702713028</v>
      </c>
      <c r="P13">
        <f t="shared" si="1"/>
        <v>0.12541993281075003</v>
      </c>
      <c r="Q13">
        <v>1</v>
      </c>
    </row>
    <row r="14" spans="1:17" x14ac:dyDescent="0.35">
      <c r="A14" t="s">
        <v>25</v>
      </c>
      <c r="B14" t="s">
        <v>16</v>
      </c>
      <c r="C14" t="s">
        <v>17</v>
      </c>
      <c r="D14">
        <v>744</v>
      </c>
      <c r="E14">
        <v>186</v>
      </c>
      <c r="F14">
        <v>91</v>
      </c>
      <c r="G14">
        <v>532</v>
      </c>
      <c r="H14">
        <v>26</v>
      </c>
      <c r="I14">
        <v>95</v>
      </c>
      <c r="J14">
        <v>0.88753998535475997</v>
      </c>
      <c r="K14">
        <v>0.83736559139785005</v>
      </c>
      <c r="L14">
        <v>0.77777777777778001</v>
      </c>
      <c r="M14">
        <v>0.48924731182796</v>
      </c>
      <c r="N14">
        <v>0.60066006600660005</v>
      </c>
      <c r="O14">
        <f t="shared" si="0"/>
        <v>0.95340501792114696</v>
      </c>
      <c r="P14">
        <f t="shared" si="1"/>
        <v>0.16263440860214995</v>
      </c>
      <c r="Q14">
        <v>1</v>
      </c>
    </row>
    <row r="15" spans="1:17" x14ac:dyDescent="0.35">
      <c r="A15" t="s">
        <v>25</v>
      </c>
      <c r="B15" t="s">
        <v>18</v>
      </c>
      <c r="C15" t="s">
        <v>19</v>
      </c>
      <c r="D15">
        <v>2679</v>
      </c>
      <c r="E15">
        <v>62</v>
      </c>
      <c r="F15">
        <v>32</v>
      </c>
      <c r="G15">
        <v>2420</v>
      </c>
      <c r="H15">
        <v>197</v>
      </c>
      <c r="I15">
        <v>30</v>
      </c>
      <c r="J15">
        <v>0.84339677296090998</v>
      </c>
      <c r="K15">
        <v>0.91526689063083</v>
      </c>
      <c r="L15">
        <v>0.13973799126638001</v>
      </c>
      <c r="M15">
        <v>0.51612903225805995</v>
      </c>
      <c r="N15">
        <v>0.21993127147766001</v>
      </c>
      <c r="O15">
        <f t="shared" si="0"/>
        <v>0.92472296522735953</v>
      </c>
      <c r="P15">
        <f t="shared" si="1"/>
        <v>8.4733109369170001E-2</v>
      </c>
      <c r="Q15">
        <v>1</v>
      </c>
    </row>
    <row r="16" spans="1:17" x14ac:dyDescent="0.35">
      <c r="A16" t="s">
        <v>26</v>
      </c>
      <c r="B16" t="s">
        <v>16</v>
      </c>
      <c r="C16" t="s">
        <v>17</v>
      </c>
      <c r="D16">
        <v>744</v>
      </c>
      <c r="E16">
        <v>186</v>
      </c>
      <c r="F16">
        <v>155</v>
      </c>
      <c r="G16">
        <v>554</v>
      </c>
      <c r="H16">
        <v>4</v>
      </c>
      <c r="I16">
        <v>31</v>
      </c>
      <c r="J16">
        <v>0.99442132038386</v>
      </c>
      <c r="K16">
        <v>0.95295698924730998</v>
      </c>
      <c r="L16">
        <v>0.97484276729560004</v>
      </c>
      <c r="M16">
        <v>0.83333333333333004</v>
      </c>
      <c r="N16">
        <v>0.89855072463768004</v>
      </c>
      <c r="O16">
        <f t="shared" si="0"/>
        <v>0.99283154121863804</v>
      </c>
      <c r="P16">
        <f t="shared" si="1"/>
        <v>4.7043010752690018E-2</v>
      </c>
      <c r="Q16">
        <v>1</v>
      </c>
    </row>
    <row r="17" spans="1:17" x14ac:dyDescent="0.35">
      <c r="A17" t="s">
        <v>26</v>
      </c>
      <c r="B17" t="s">
        <v>18</v>
      </c>
      <c r="C17" t="s">
        <v>19</v>
      </c>
      <c r="D17">
        <v>2679</v>
      </c>
      <c r="E17">
        <v>62</v>
      </c>
      <c r="F17">
        <v>34</v>
      </c>
      <c r="G17">
        <v>2351</v>
      </c>
      <c r="H17">
        <v>266</v>
      </c>
      <c r="I17">
        <v>28</v>
      </c>
      <c r="J17">
        <v>0.83133851861896002</v>
      </c>
      <c r="K17">
        <v>0.89025755879058999</v>
      </c>
      <c r="L17">
        <v>0.11333333333333</v>
      </c>
      <c r="M17">
        <v>0.54838709677418995</v>
      </c>
      <c r="N17">
        <v>0.1878453038674</v>
      </c>
      <c r="O17">
        <f t="shared" si="0"/>
        <v>0.89835689721054646</v>
      </c>
      <c r="P17">
        <f t="shared" si="1"/>
        <v>0.10974244120941001</v>
      </c>
      <c r="Q17">
        <v>1</v>
      </c>
    </row>
    <row r="18" spans="1:17" x14ac:dyDescent="0.35">
      <c r="A18" t="s">
        <v>15</v>
      </c>
      <c r="B18" t="s">
        <v>16</v>
      </c>
      <c r="C18" t="s">
        <v>17</v>
      </c>
      <c r="D18">
        <v>744</v>
      </c>
      <c r="E18">
        <v>186</v>
      </c>
      <c r="F18">
        <v>72</v>
      </c>
      <c r="G18">
        <v>525</v>
      </c>
      <c r="H18">
        <v>33</v>
      </c>
      <c r="I18">
        <v>114</v>
      </c>
      <c r="J18">
        <v>0.84241916213820001</v>
      </c>
      <c r="K18">
        <v>0.80241935483870996</v>
      </c>
      <c r="L18">
        <v>0.68571428571429005</v>
      </c>
      <c r="M18">
        <v>0.38709677419354999</v>
      </c>
      <c r="N18">
        <v>0.49484536082474001</v>
      </c>
      <c r="O18">
        <f t="shared" si="0"/>
        <v>0.94086021505376349</v>
      </c>
      <c r="P18">
        <f t="shared" si="1"/>
        <v>0.19758064516129004</v>
      </c>
      <c r="Q18">
        <v>2</v>
      </c>
    </row>
    <row r="19" spans="1:17" x14ac:dyDescent="0.35">
      <c r="A19" t="s">
        <v>15</v>
      </c>
      <c r="B19" t="s">
        <v>18</v>
      </c>
      <c r="C19" t="s">
        <v>19</v>
      </c>
      <c r="D19">
        <v>2679</v>
      </c>
      <c r="E19">
        <v>62</v>
      </c>
      <c r="F19">
        <v>34</v>
      </c>
      <c r="G19">
        <v>2425</v>
      </c>
      <c r="H19">
        <v>192</v>
      </c>
      <c r="I19">
        <v>28</v>
      </c>
      <c r="J19">
        <v>0.87626807351436997</v>
      </c>
      <c r="K19">
        <v>0.91787980589772</v>
      </c>
      <c r="L19">
        <v>0.15044247787611001</v>
      </c>
      <c r="M19">
        <v>0.54838709677418995</v>
      </c>
      <c r="N19">
        <v>0.23611111111110999</v>
      </c>
      <c r="O19">
        <f t="shared" si="0"/>
        <v>0.92663354986625912</v>
      </c>
      <c r="P19">
        <f t="shared" si="1"/>
        <v>8.2120194102279997E-2</v>
      </c>
      <c r="Q19">
        <v>2</v>
      </c>
    </row>
    <row r="20" spans="1:17" x14ac:dyDescent="0.35">
      <c r="A20" t="s">
        <v>20</v>
      </c>
      <c r="B20" t="s">
        <v>16</v>
      </c>
      <c r="C20" t="s">
        <v>17</v>
      </c>
      <c r="D20">
        <v>744</v>
      </c>
      <c r="E20">
        <v>186</v>
      </c>
      <c r="F20">
        <v>65</v>
      </c>
      <c r="G20">
        <v>530</v>
      </c>
      <c r="H20">
        <v>28</v>
      </c>
      <c r="I20">
        <v>121</v>
      </c>
      <c r="J20">
        <v>0.84080047789724999</v>
      </c>
      <c r="K20">
        <v>0.79973118279569999</v>
      </c>
      <c r="L20">
        <v>0.69892473118279996</v>
      </c>
      <c r="M20">
        <v>0.34946236559139998</v>
      </c>
      <c r="N20">
        <v>0.46594982078852998</v>
      </c>
      <c r="O20">
        <f t="shared" si="0"/>
        <v>0.94982078853046592</v>
      </c>
      <c r="P20">
        <f t="shared" si="1"/>
        <v>0.20026881720430001</v>
      </c>
      <c r="Q20">
        <v>2</v>
      </c>
    </row>
    <row r="21" spans="1:17" x14ac:dyDescent="0.35">
      <c r="A21" t="s">
        <v>20</v>
      </c>
      <c r="B21" t="s">
        <v>18</v>
      </c>
      <c r="C21" t="s">
        <v>19</v>
      </c>
      <c r="D21">
        <v>2679</v>
      </c>
      <c r="E21">
        <v>62</v>
      </c>
      <c r="F21">
        <v>28</v>
      </c>
      <c r="G21">
        <v>2471</v>
      </c>
      <c r="H21">
        <v>146</v>
      </c>
      <c r="I21">
        <v>34</v>
      </c>
      <c r="J21">
        <v>0.86733763112157003</v>
      </c>
      <c r="K21">
        <v>0.93281075027995997</v>
      </c>
      <c r="L21">
        <v>0.16091954022989</v>
      </c>
      <c r="M21">
        <v>0.45161290322580999</v>
      </c>
      <c r="N21">
        <v>0.23728813559322001</v>
      </c>
      <c r="O21">
        <f t="shared" si="0"/>
        <v>0.94421092854413446</v>
      </c>
      <c r="P21">
        <f t="shared" si="1"/>
        <v>6.7189249720040034E-2</v>
      </c>
      <c r="Q21">
        <v>2</v>
      </c>
    </row>
    <row r="22" spans="1:17" x14ac:dyDescent="0.35">
      <c r="A22" t="s">
        <v>21</v>
      </c>
      <c r="B22" t="s">
        <v>16</v>
      </c>
      <c r="C22" t="s">
        <v>17</v>
      </c>
      <c r="D22">
        <v>744</v>
      </c>
      <c r="E22">
        <v>186</v>
      </c>
      <c r="F22">
        <v>101</v>
      </c>
      <c r="G22">
        <v>542</v>
      </c>
      <c r="H22">
        <v>16</v>
      </c>
      <c r="I22">
        <v>85</v>
      </c>
      <c r="J22">
        <v>0.89785427987820998</v>
      </c>
      <c r="K22">
        <v>0.86424731182796</v>
      </c>
      <c r="L22">
        <v>0.86324786324785996</v>
      </c>
      <c r="M22">
        <v>0.54301075268817001</v>
      </c>
      <c r="N22">
        <v>0.66666666666666996</v>
      </c>
      <c r="O22">
        <f t="shared" si="0"/>
        <v>0.97132616487455192</v>
      </c>
      <c r="P22">
        <f t="shared" si="1"/>
        <v>0.13575268817204</v>
      </c>
      <c r="Q22">
        <v>2</v>
      </c>
    </row>
    <row r="23" spans="1:17" x14ac:dyDescent="0.35">
      <c r="A23" t="s">
        <v>21</v>
      </c>
      <c r="B23" t="s">
        <v>18</v>
      </c>
      <c r="C23" t="s">
        <v>19</v>
      </c>
      <c r="D23">
        <v>2679</v>
      </c>
      <c r="E23">
        <v>62</v>
      </c>
      <c r="F23">
        <v>32</v>
      </c>
      <c r="G23">
        <v>2373</v>
      </c>
      <c r="H23">
        <v>244</v>
      </c>
      <c r="I23">
        <v>30</v>
      </c>
      <c r="J23">
        <v>0.77701628311166004</v>
      </c>
      <c r="K23">
        <v>0.89772303098171002</v>
      </c>
      <c r="L23">
        <v>0.11594202898551</v>
      </c>
      <c r="M23">
        <v>0.51612903225805995</v>
      </c>
      <c r="N23">
        <v>0.18934911242603999</v>
      </c>
      <c r="O23">
        <f t="shared" si="0"/>
        <v>0.90676346962170429</v>
      </c>
      <c r="P23">
        <f t="shared" si="1"/>
        <v>0.10227696901828998</v>
      </c>
      <c r="Q23">
        <v>2</v>
      </c>
    </row>
    <row r="24" spans="1:17" x14ac:dyDescent="0.35">
      <c r="A24" t="s">
        <v>22</v>
      </c>
      <c r="B24" t="s">
        <v>16</v>
      </c>
      <c r="C24" t="s">
        <v>17</v>
      </c>
      <c r="D24">
        <v>744</v>
      </c>
      <c r="E24">
        <v>186</v>
      </c>
      <c r="F24">
        <v>186</v>
      </c>
      <c r="G24">
        <v>558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f t="shared" si="0"/>
        <v>1</v>
      </c>
      <c r="P24">
        <f t="shared" si="1"/>
        <v>0</v>
      </c>
      <c r="Q24">
        <v>2</v>
      </c>
    </row>
    <row r="25" spans="1:17" x14ac:dyDescent="0.35">
      <c r="A25" t="s">
        <v>22</v>
      </c>
      <c r="B25" t="s">
        <v>18</v>
      </c>
      <c r="C25" t="s">
        <v>19</v>
      </c>
      <c r="D25">
        <v>2679</v>
      </c>
      <c r="E25">
        <v>62</v>
      </c>
      <c r="F25">
        <v>35</v>
      </c>
      <c r="G25">
        <v>2416</v>
      </c>
      <c r="H25">
        <v>201</v>
      </c>
      <c r="I25">
        <v>27</v>
      </c>
      <c r="J25">
        <v>0.89186399102642</v>
      </c>
      <c r="K25">
        <v>0.91489361702128003</v>
      </c>
      <c r="L25">
        <v>0.14830508474576001</v>
      </c>
      <c r="M25">
        <v>0.56451612903226001</v>
      </c>
      <c r="N25">
        <v>0.23489932885906001</v>
      </c>
      <c r="O25">
        <f t="shared" si="0"/>
        <v>0.92319449751623994</v>
      </c>
      <c r="P25">
        <f t="shared" si="1"/>
        <v>8.5106382978719974E-2</v>
      </c>
      <c r="Q25">
        <v>2</v>
      </c>
    </row>
    <row r="26" spans="1:17" x14ac:dyDescent="0.35">
      <c r="A26" t="s">
        <v>23</v>
      </c>
      <c r="B26" t="s">
        <v>16</v>
      </c>
      <c r="C26" t="s">
        <v>17</v>
      </c>
      <c r="D26">
        <v>744</v>
      </c>
      <c r="E26">
        <v>186</v>
      </c>
      <c r="F26">
        <v>109</v>
      </c>
      <c r="G26">
        <v>519</v>
      </c>
      <c r="H26">
        <v>39</v>
      </c>
      <c r="I26">
        <v>77</v>
      </c>
      <c r="J26">
        <v>0.90326434655259003</v>
      </c>
      <c r="K26">
        <v>0.84408602150538004</v>
      </c>
      <c r="L26">
        <v>0.73648648648648996</v>
      </c>
      <c r="M26">
        <v>0.58602150537634001</v>
      </c>
      <c r="N26">
        <v>0.65269461077844004</v>
      </c>
      <c r="O26">
        <f t="shared" si="0"/>
        <v>0.93010752688172038</v>
      </c>
      <c r="P26">
        <f t="shared" si="1"/>
        <v>0.15591397849461996</v>
      </c>
      <c r="Q26">
        <v>2</v>
      </c>
    </row>
    <row r="27" spans="1:17" x14ac:dyDescent="0.35">
      <c r="A27" t="s">
        <v>23</v>
      </c>
      <c r="B27" t="s">
        <v>18</v>
      </c>
      <c r="C27" t="s">
        <v>19</v>
      </c>
      <c r="D27">
        <v>2679</v>
      </c>
      <c r="E27">
        <v>62</v>
      </c>
      <c r="F27">
        <v>32</v>
      </c>
      <c r="G27">
        <v>2346</v>
      </c>
      <c r="H27">
        <v>271</v>
      </c>
      <c r="I27">
        <v>30</v>
      </c>
      <c r="J27">
        <v>0.83473442873518999</v>
      </c>
      <c r="K27">
        <v>0.88764464352369998</v>
      </c>
      <c r="L27">
        <v>0.10561056105611</v>
      </c>
      <c r="M27">
        <v>0.51612903225805995</v>
      </c>
      <c r="N27">
        <v>0.17534246575342</v>
      </c>
      <c r="O27">
        <f t="shared" si="0"/>
        <v>0.89644631257164697</v>
      </c>
      <c r="P27">
        <f t="shared" si="1"/>
        <v>0.11235535647630002</v>
      </c>
      <c r="Q27">
        <v>2</v>
      </c>
    </row>
    <row r="28" spans="1:17" x14ac:dyDescent="0.35">
      <c r="A28" t="s">
        <v>24</v>
      </c>
      <c r="B28" t="s">
        <v>16</v>
      </c>
      <c r="C28" t="s">
        <v>17</v>
      </c>
      <c r="D28">
        <v>744</v>
      </c>
      <c r="E28">
        <v>186</v>
      </c>
      <c r="F28">
        <v>100</v>
      </c>
      <c r="G28">
        <v>484</v>
      </c>
      <c r="H28">
        <v>74</v>
      </c>
      <c r="I28">
        <v>86</v>
      </c>
      <c r="J28">
        <v>0.82537480248198003</v>
      </c>
      <c r="K28">
        <v>0.78494623655913998</v>
      </c>
      <c r="L28">
        <v>0.57471264367816</v>
      </c>
      <c r="M28">
        <v>0.53763440860214995</v>
      </c>
      <c r="N28">
        <v>0.55555555555556002</v>
      </c>
      <c r="O28">
        <f t="shared" si="0"/>
        <v>0.86738351254480284</v>
      </c>
      <c r="P28">
        <f t="shared" si="1"/>
        <v>0.21505376344086002</v>
      </c>
      <c r="Q28">
        <v>2</v>
      </c>
    </row>
    <row r="29" spans="1:17" x14ac:dyDescent="0.35">
      <c r="A29" t="s">
        <v>24</v>
      </c>
      <c r="B29" t="s">
        <v>18</v>
      </c>
      <c r="C29" t="s">
        <v>19</v>
      </c>
      <c r="D29">
        <v>2679</v>
      </c>
      <c r="E29">
        <v>62</v>
      </c>
      <c r="F29">
        <v>42</v>
      </c>
      <c r="G29">
        <v>2254</v>
      </c>
      <c r="H29">
        <v>363</v>
      </c>
      <c r="I29">
        <v>20</v>
      </c>
      <c r="J29">
        <v>0.84404698805575995</v>
      </c>
      <c r="K29">
        <v>0.85703620754012999</v>
      </c>
      <c r="L29">
        <v>0.1037037037037</v>
      </c>
      <c r="M29">
        <v>0.67741935483870996</v>
      </c>
      <c r="N29">
        <v>0.17987152034261</v>
      </c>
      <c r="O29">
        <f t="shared" si="0"/>
        <v>0.86129155521589607</v>
      </c>
      <c r="P29">
        <f t="shared" si="1"/>
        <v>0.14296379245987001</v>
      </c>
      <c r="Q29">
        <v>2</v>
      </c>
    </row>
    <row r="30" spans="1:17" x14ac:dyDescent="0.35">
      <c r="A30" t="s">
        <v>25</v>
      </c>
      <c r="B30" t="s">
        <v>16</v>
      </c>
      <c r="C30" t="s">
        <v>17</v>
      </c>
      <c r="D30">
        <v>744</v>
      </c>
      <c r="E30">
        <v>186</v>
      </c>
      <c r="F30">
        <v>70</v>
      </c>
      <c r="G30">
        <v>543</v>
      </c>
      <c r="H30">
        <v>15</v>
      </c>
      <c r="I30">
        <v>116</v>
      </c>
      <c r="J30">
        <v>0.87662350175356996</v>
      </c>
      <c r="K30">
        <v>0.82392473118279996</v>
      </c>
      <c r="L30">
        <v>0.82352941176470995</v>
      </c>
      <c r="M30">
        <v>0.37634408602150998</v>
      </c>
      <c r="N30">
        <v>0.51660516605165996</v>
      </c>
      <c r="O30">
        <f t="shared" si="0"/>
        <v>0.9731182795698925</v>
      </c>
      <c r="P30">
        <f t="shared" si="1"/>
        <v>0.17607526881720004</v>
      </c>
      <c r="Q30">
        <v>2</v>
      </c>
    </row>
    <row r="31" spans="1:17" x14ac:dyDescent="0.35">
      <c r="A31" t="s">
        <v>25</v>
      </c>
      <c r="B31" t="s">
        <v>18</v>
      </c>
      <c r="C31" t="s">
        <v>19</v>
      </c>
      <c r="D31">
        <v>2679</v>
      </c>
      <c r="E31">
        <v>62</v>
      </c>
      <c r="F31">
        <v>25</v>
      </c>
      <c r="G31">
        <v>2508</v>
      </c>
      <c r="H31">
        <v>109</v>
      </c>
      <c r="I31">
        <v>37</v>
      </c>
      <c r="J31">
        <v>0.84266335498663003</v>
      </c>
      <c r="K31">
        <v>0.94550205300485002</v>
      </c>
      <c r="L31">
        <v>0.18656716417909999</v>
      </c>
      <c r="M31">
        <v>0.40322580645160999</v>
      </c>
      <c r="N31">
        <v>0.25510204081632998</v>
      </c>
      <c r="O31">
        <f t="shared" si="0"/>
        <v>0.95834925487199085</v>
      </c>
      <c r="P31">
        <f t="shared" si="1"/>
        <v>5.4497946995149982E-2</v>
      </c>
      <c r="Q31">
        <v>2</v>
      </c>
    </row>
    <row r="32" spans="1:17" x14ac:dyDescent="0.35">
      <c r="A32" t="s">
        <v>26</v>
      </c>
      <c r="B32" t="s">
        <v>16</v>
      </c>
      <c r="C32" t="s">
        <v>17</v>
      </c>
      <c r="D32">
        <v>744</v>
      </c>
      <c r="E32">
        <v>186</v>
      </c>
      <c r="F32">
        <v>157</v>
      </c>
      <c r="G32">
        <v>553</v>
      </c>
      <c r="H32">
        <v>5</v>
      </c>
      <c r="I32">
        <v>29</v>
      </c>
      <c r="J32">
        <v>0.98928585192893004</v>
      </c>
      <c r="K32">
        <v>0.95430107526882002</v>
      </c>
      <c r="L32">
        <v>0.96913580246914</v>
      </c>
      <c r="M32">
        <v>0.84408602150538004</v>
      </c>
      <c r="N32">
        <v>0.90229885057471004</v>
      </c>
      <c r="O32">
        <f t="shared" si="0"/>
        <v>0.99103942652329746</v>
      </c>
      <c r="P32">
        <f t="shared" si="1"/>
        <v>4.569892473117998E-2</v>
      </c>
      <c r="Q32">
        <v>2</v>
      </c>
    </row>
    <row r="33" spans="1:17" x14ac:dyDescent="0.35">
      <c r="A33" t="s">
        <v>26</v>
      </c>
      <c r="B33" t="s">
        <v>18</v>
      </c>
      <c r="C33" t="s">
        <v>19</v>
      </c>
      <c r="D33">
        <v>2679</v>
      </c>
      <c r="E33">
        <v>62</v>
      </c>
      <c r="F33">
        <v>42</v>
      </c>
      <c r="G33">
        <v>2399</v>
      </c>
      <c r="H33">
        <v>218</v>
      </c>
      <c r="I33">
        <v>20</v>
      </c>
      <c r="J33">
        <v>0.88678861538081999</v>
      </c>
      <c r="K33">
        <v>0.91116088092572001</v>
      </c>
      <c r="L33">
        <v>0.16153846153845999</v>
      </c>
      <c r="M33">
        <v>0.67741935483870996</v>
      </c>
      <c r="N33">
        <v>0.26086956521739002</v>
      </c>
      <c r="O33">
        <f t="shared" si="0"/>
        <v>0.9166985097439817</v>
      </c>
      <c r="P33">
        <f t="shared" si="1"/>
        <v>8.8839119074279993E-2</v>
      </c>
      <c r="Q33">
        <v>2</v>
      </c>
    </row>
    <row r="34" spans="1:17" x14ac:dyDescent="0.35">
      <c r="A34" t="s">
        <v>15</v>
      </c>
      <c r="B34" t="s">
        <v>16</v>
      </c>
      <c r="C34" t="s">
        <v>17</v>
      </c>
      <c r="D34">
        <v>744</v>
      </c>
      <c r="E34">
        <v>186</v>
      </c>
      <c r="F34">
        <v>81</v>
      </c>
      <c r="G34">
        <v>527</v>
      </c>
      <c r="H34">
        <v>31</v>
      </c>
      <c r="I34">
        <v>105</v>
      </c>
      <c r="J34">
        <v>0.85779666242726005</v>
      </c>
      <c r="K34">
        <v>0.81720430107526998</v>
      </c>
      <c r="L34">
        <v>0.72321428571429003</v>
      </c>
      <c r="M34">
        <v>0.43548387096773999</v>
      </c>
      <c r="N34">
        <v>0.54362416107383005</v>
      </c>
      <c r="O34">
        <f t="shared" si="0"/>
        <v>0.94444444444444442</v>
      </c>
      <c r="P34">
        <f t="shared" si="1"/>
        <v>0.18279569892473002</v>
      </c>
      <c r="Q34">
        <v>3</v>
      </c>
    </row>
    <row r="35" spans="1:17" x14ac:dyDescent="0.35">
      <c r="A35" t="s">
        <v>15</v>
      </c>
      <c r="B35" t="s">
        <v>18</v>
      </c>
      <c r="C35" t="s">
        <v>19</v>
      </c>
      <c r="D35">
        <v>2679</v>
      </c>
      <c r="E35">
        <v>62</v>
      </c>
      <c r="F35">
        <v>19</v>
      </c>
      <c r="G35">
        <v>2426</v>
      </c>
      <c r="H35">
        <v>191</v>
      </c>
      <c r="I35">
        <v>43</v>
      </c>
      <c r="J35">
        <v>0.80696931970860997</v>
      </c>
      <c r="K35">
        <v>0.91265397536394</v>
      </c>
      <c r="L35">
        <v>9.0476190476190002E-2</v>
      </c>
      <c r="M35">
        <v>0.30645161290322998</v>
      </c>
      <c r="N35">
        <v>0.13970588235293999</v>
      </c>
      <c r="O35">
        <f t="shared" si="0"/>
        <v>0.92701566679403902</v>
      </c>
      <c r="P35">
        <f t="shared" si="1"/>
        <v>8.7346024636060005E-2</v>
      </c>
      <c r="Q35">
        <v>3</v>
      </c>
    </row>
    <row r="36" spans="1:17" x14ac:dyDescent="0.35">
      <c r="A36" t="s">
        <v>20</v>
      </c>
      <c r="B36" t="s">
        <v>16</v>
      </c>
      <c r="C36" t="s">
        <v>17</v>
      </c>
      <c r="D36">
        <v>744</v>
      </c>
      <c r="E36">
        <v>186</v>
      </c>
      <c r="F36">
        <v>75</v>
      </c>
      <c r="G36">
        <v>531</v>
      </c>
      <c r="H36">
        <v>27</v>
      </c>
      <c r="I36">
        <v>111</v>
      </c>
      <c r="J36">
        <v>0.85850965429529003</v>
      </c>
      <c r="K36">
        <v>0.81451612903226001</v>
      </c>
      <c r="L36">
        <v>0.73529411764705999</v>
      </c>
      <c r="M36">
        <v>0.40322580645160999</v>
      </c>
      <c r="N36">
        <v>0.52083333333333004</v>
      </c>
      <c r="O36">
        <f t="shared" si="0"/>
        <v>0.95161290322580649</v>
      </c>
      <c r="P36">
        <f t="shared" si="1"/>
        <v>0.18548387096773999</v>
      </c>
      <c r="Q36">
        <v>3</v>
      </c>
    </row>
    <row r="37" spans="1:17" x14ac:dyDescent="0.35">
      <c r="A37" t="s">
        <v>20</v>
      </c>
      <c r="B37" t="s">
        <v>18</v>
      </c>
      <c r="C37" t="s">
        <v>19</v>
      </c>
      <c r="D37">
        <v>2679</v>
      </c>
      <c r="E37">
        <v>62</v>
      </c>
      <c r="F37">
        <v>14</v>
      </c>
      <c r="G37">
        <v>2451</v>
      </c>
      <c r="H37">
        <v>166</v>
      </c>
      <c r="I37">
        <v>48</v>
      </c>
      <c r="J37">
        <v>0.80348712512480003</v>
      </c>
      <c r="K37">
        <v>0.92011944755506003</v>
      </c>
      <c r="L37">
        <v>7.7777777777778001E-2</v>
      </c>
      <c r="M37">
        <v>0.2258064516129</v>
      </c>
      <c r="N37">
        <v>0.11570247933883999</v>
      </c>
      <c r="O37">
        <f t="shared" si="0"/>
        <v>0.93656858998853654</v>
      </c>
      <c r="P37">
        <f t="shared" si="1"/>
        <v>7.9880552444939967E-2</v>
      </c>
      <c r="Q37">
        <v>3</v>
      </c>
    </row>
    <row r="38" spans="1:17" x14ac:dyDescent="0.35">
      <c r="A38" t="s">
        <v>21</v>
      </c>
      <c r="B38" t="s">
        <v>16</v>
      </c>
      <c r="C38" t="s">
        <v>17</v>
      </c>
      <c r="D38">
        <v>744</v>
      </c>
      <c r="E38">
        <v>186</v>
      </c>
      <c r="F38">
        <v>140</v>
      </c>
      <c r="G38">
        <v>498</v>
      </c>
      <c r="H38">
        <v>60</v>
      </c>
      <c r="I38">
        <v>46</v>
      </c>
      <c r="J38">
        <v>0.91771206690562002</v>
      </c>
      <c r="K38">
        <v>0.85752688172043001</v>
      </c>
      <c r="L38">
        <v>0.7</v>
      </c>
      <c r="M38">
        <v>0.75268817204300997</v>
      </c>
      <c r="N38">
        <v>0.72538860103627001</v>
      </c>
      <c r="O38">
        <f t="shared" si="0"/>
        <v>0.89247311827956988</v>
      </c>
      <c r="P38">
        <f t="shared" si="1"/>
        <v>0.14247311827956999</v>
      </c>
      <c r="Q38">
        <v>3</v>
      </c>
    </row>
    <row r="39" spans="1:17" x14ac:dyDescent="0.35">
      <c r="A39" t="s">
        <v>21</v>
      </c>
      <c r="B39" t="s">
        <v>18</v>
      </c>
      <c r="C39" t="s">
        <v>19</v>
      </c>
      <c r="D39">
        <v>2679</v>
      </c>
      <c r="E39">
        <v>62</v>
      </c>
      <c r="F39">
        <v>29</v>
      </c>
      <c r="G39">
        <v>2114</v>
      </c>
      <c r="H39">
        <v>503</v>
      </c>
      <c r="I39">
        <v>33</v>
      </c>
      <c r="J39">
        <v>0.67443329594339996</v>
      </c>
      <c r="K39">
        <v>0.79992534527809001</v>
      </c>
      <c r="L39">
        <v>5.4511278195489003E-2</v>
      </c>
      <c r="M39">
        <v>0.46774193548387</v>
      </c>
      <c r="N39">
        <v>9.7643097643098004E-2</v>
      </c>
      <c r="O39">
        <f t="shared" si="0"/>
        <v>0.80779518532671002</v>
      </c>
      <c r="P39">
        <f t="shared" si="1"/>
        <v>0.20007465472190999</v>
      </c>
      <c r="Q39">
        <v>3</v>
      </c>
    </row>
    <row r="40" spans="1:17" x14ac:dyDescent="0.35">
      <c r="A40" t="s">
        <v>22</v>
      </c>
      <c r="B40" t="s">
        <v>16</v>
      </c>
      <c r="C40" t="s">
        <v>17</v>
      </c>
      <c r="D40">
        <v>744</v>
      </c>
      <c r="E40">
        <v>186</v>
      </c>
      <c r="F40">
        <v>186</v>
      </c>
      <c r="G40">
        <v>558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f t="shared" si="0"/>
        <v>1</v>
      </c>
      <c r="P40">
        <f t="shared" si="1"/>
        <v>0</v>
      </c>
      <c r="Q40">
        <v>3</v>
      </c>
    </row>
    <row r="41" spans="1:17" x14ac:dyDescent="0.35">
      <c r="A41" t="s">
        <v>22</v>
      </c>
      <c r="B41" t="s">
        <v>18</v>
      </c>
      <c r="C41" t="s">
        <v>19</v>
      </c>
      <c r="D41">
        <v>2679</v>
      </c>
      <c r="E41">
        <v>62</v>
      </c>
      <c r="F41">
        <v>24</v>
      </c>
      <c r="G41">
        <v>2403</v>
      </c>
      <c r="H41">
        <v>214</v>
      </c>
      <c r="I41">
        <v>38</v>
      </c>
      <c r="J41">
        <v>0.79587868403860995</v>
      </c>
      <c r="K41">
        <v>0.90593505039194</v>
      </c>
      <c r="L41">
        <v>0.10084033613445</v>
      </c>
      <c r="M41">
        <v>0.38709677419354999</v>
      </c>
      <c r="N41">
        <v>0.16</v>
      </c>
      <c r="O41">
        <f t="shared" si="0"/>
        <v>0.91822697745510129</v>
      </c>
      <c r="P41">
        <f t="shared" si="1"/>
        <v>9.406494960806E-2</v>
      </c>
      <c r="Q41">
        <v>3</v>
      </c>
    </row>
    <row r="42" spans="1:17" x14ac:dyDescent="0.35">
      <c r="A42" t="s">
        <v>23</v>
      </c>
      <c r="B42" t="s">
        <v>16</v>
      </c>
      <c r="C42" t="s">
        <v>17</v>
      </c>
      <c r="D42">
        <v>744</v>
      </c>
      <c r="E42">
        <v>186</v>
      </c>
      <c r="F42">
        <v>118</v>
      </c>
      <c r="G42">
        <v>528</v>
      </c>
      <c r="H42">
        <v>30</v>
      </c>
      <c r="I42">
        <v>68</v>
      </c>
      <c r="J42">
        <v>0.92345454195090004</v>
      </c>
      <c r="K42">
        <v>0.86827956989247002</v>
      </c>
      <c r="L42">
        <v>0.79729729729730003</v>
      </c>
      <c r="M42">
        <v>0.63440860215053996</v>
      </c>
      <c r="N42">
        <v>0.70658682634730996</v>
      </c>
      <c r="O42">
        <f t="shared" si="0"/>
        <v>0.94623655913978499</v>
      </c>
      <c r="P42">
        <f t="shared" si="1"/>
        <v>0.13172043010752998</v>
      </c>
      <c r="Q42">
        <v>3</v>
      </c>
    </row>
    <row r="43" spans="1:17" x14ac:dyDescent="0.35">
      <c r="A43" t="s">
        <v>23</v>
      </c>
      <c r="B43" t="s">
        <v>18</v>
      </c>
      <c r="C43" t="s">
        <v>19</v>
      </c>
      <c r="D43">
        <v>2679</v>
      </c>
      <c r="E43">
        <v>62</v>
      </c>
      <c r="F43">
        <v>19</v>
      </c>
      <c r="G43">
        <v>2372</v>
      </c>
      <c r="H43">
        <v>245</v>
      </c>
      <c r="I43">
        <v>43</v>
      </c>
      <c r="J43">
        <v>0.72844120946170998</v>
      </c>
      <c r="K43">
        <v>0.89249720044793002</v>
      </c>
      <c r="L43">
        <v>7.1969696969697003E-2</v>
      </c>
      <c r="M43">
        <v>0.30645161290322998</v>
      </c>
      <c r="N43">
        <v>0.11656441717791</v>
      </c>
      <c r="O43">
        <f t="shared" si="0"/>
        <v>0.90638135269392439</v>
      </c>
      <c r="P43">
        <f t="shared" si="1"/>
        <v>0.10750279955206998</v>
      </c>
      <c r="Q43">
        <v>3</v>
      </c>
    </row>
    <row r="44" spans="1:17" x14ac:dyDescent="0.35">
      <c r="A44" t="s">
        <v>24</v>
      </c>
      <c r="B44" t="s">
        <v>16</v>
      </c>
      <c r="C44" t="s">
        <v>17</v>
      </c>
      <c r="D44">
        <v>744</v>
      </c>
      <c r="E44">
        <v>186</v>
      </c>
      <c r="F44">
        <v>86</v>
      </c>
      <c r="G44">
        <v>495</v>
      </c>
      <c r="H44">
        <v>63</v>
      </c>
      <c r="I44">
        <v>100</v>
      </c>
      <c r="J44">
        <v>0.84182179057309003</v>
      </c>
      <c r="K44">
        <v>0.78091397849461996</v>
      </c>
      <c r="L44">
        <v>0.57718120805369</v>
      </c>
      <c r="M44">
        <v>0.46236559139785</v>
      </c>
      <c r="N44">
        <v>0.51343283582090005</v>
      </c>
      <c r="O44">
        <f t="shared" si="0"/>
        <v>0.88709677419354838</v>
      </c>
      <c r="P44">
        <f t="shared" si="1"/>
        <v>0.21908602150538004</v>
      </c>
      <c r="Q44">
        <v>3</v>
      </c>
    </row>
    <row r="45" spans="1:17" x14ac:dyDescent="0.35">
      <c r="A45" t="s">
        <v>24</v>
      </c>
      <c r="B45" t="s">
        <v>18</v>
      </c>
      <c r="C45" t="s">
        <v>19</v>
      </c>
      <c r="D45">
        <v>2679</v>
      </c>
      <c r="E45">
        <v>62</v>
      </c>
      <c r="F45">
        <v>23</v>
      </c>
      <c r="G45">
        <v>2277</v>
      </c>
      <c r="H45">
        <v>340</v>
      </c>
      <c r="I45">
        <v>39</v>
      </c>
      <c r="J45">
        <v>0.78254465221196001</v>
      </c>
      <c r="K45">
        <v>0.85852930197834998</v>
      </c>
      <c r="L45">
        <v>6.3360881542700004E-2</v>
      </c>
      <c r="M45">
        <v>0.37096774193547999</v>
      </c>
      <c r="N45">
        <v>0.10823529411765</v>
      </c>
      <c r="O45">
        <f t="shared" si="0"/>
        <v>0.87008024455483379</v>
      </c>
      <c r="P45">
        <f t="shared" si="1"/>
        <v>0.14147069802165002</v>
      </c>
      <c r="Q45">
        <v>3</v>
      </c>
    </row>
    <row r="46" spans="1:17" x14ac:dyDescent="0.35">
      <c r="A46" t="s">
        <v>25</v>
      </c>
      <c r="B46" t="s">
        <v>16</v>
      </c>
      <c r="C46" t="s">
        <v>17</v>
      </c>
      <c r="D46">
        <v>744</v>
      </c>
      <c r="E46">
        <v>186</v>
      </c>
      <c r="F46">
        <v>92</v>
      </c>
      <c r="G46">
        <v>533</v>
      </c>
      <c r="H46">
        <v>25</v>
      </c>
      <c r="I46">
        <v>94</v>
      </c>
      <c r="J46">
        <v>0.88857093305584001</v>
      </c>
      <c r="K46">
        <v>0.84005376344086002</v>
      </c>
      <c r="L46">
        <v>0.78632478632478997</v>
      </c>
      <c r="M46">
        <v>0.49462365591398</v>
      </c>
      <c r="N46">
        <v>0.60726072607260995</v>
      </c>
      <c r="O46">
        <f t="shared" si="0"/>
        <v>0.95519713261648742</v>
      </c>
      <c r="P46">
        <f t="shared" si="1"/>
        <v>0.15994623655913998</v>
      </c>
      <c r="Q46">
        <v>3</v>
      </c>
    </row>
    <row r="47" spans="1:17" x14ac:dyDescent="0.35">
      <c r="A47" t="s">
        <v>25</v>
      </c>
      <c r="B47" t="s">
        <v>18</v>
      </c>
      <c r="C47" t="s">
        <v>19</v>
      </c>
      <c r="D47">
        <v>2679</v>
      </c>
      <c r="E47">
        <v>62</v>
      </c>
      <c r="F47">
        <v>15</v>
      </c>
      <c r="G47">
        <v>2442</v>
      </c>
      <c r="H47">
        <v>175</v>
      </c>
      <c r="I47">
        <v>47</v>
      </c>
      <c r="J47">
        <v>0.77652631059943</v>
      </c>
      <c r="K47">
        <v>0.91713325867860995</v>
      </c>
      <c r="L47">
        <v>7.8947368421053002E-2</v>
      </c>
      <c r="M47">
        <v>0.24193548387097</v>
      </c>
      <c r="N47">
        <v>0.11904761904762</v>
      </c>
      <c r="O47">
        <f t="shared" si="0"/>
        <v>0.93312953763851736</v>
      </c>
      <c r="P47">
        <f t="shared" si="1"/>
        <v>8.2866741321390047E-2</v>
      </c>
      <c r="Q47">
        <v>3</v>
      </c>
    </row>
    <row r="48" spans="1:17" x14ac:dyDescent="0.35">
      <c r="A48" t="s">
        <v>26</v>
      </c>
      <c r="B48" t="s">
        <v>16</v>
      </c>
      <c r="C48" t="s">
        <v>17</v>
      </c>
      <c r="D48">
        <v>744</v>
      </c>
      <c r="E48">
        <v>186</v>
      </c>
      <c r="F48">
        <v>159</v>
      </c>
      <c r="G48">
        <v>553</v>
      </c>
      <c r="H48">
        <v>5</v>
      </c>
      <c r="I48">
        <v>27</v>
      </c>
      <c r="J48">
        <v>0.99249431533511001</v>
      </c>
      <c r="K48">
        <v>0.95698924731182999</v>
      </c>
      <c r="L48">
        <v>0.96951219512194997</v>
      </c>
      <c r="M48">
        <v>0.85483870967742004</v>
      </c>
      <c r="N48">
        <v>0.90857142857143003</v>
      </c>
      <c r="O48">
        <f t="shared" si="0"/>
        <v>0.99103942652329746</v>
      </c>
      <c r="P48">
        <f t="shared" si="1"/>
        <v>4.3010752688170006E-2</v>
      </c>
      <c r="Q48">
        <v>3</v>
      </c>
    </row>
    <row r="49" spans="1:17" x14ac:dyDescent="0.35">
      <c r="A49" t="s">
        <v>26</v>
      </c>
      <c r="B49" t="s">
        <v>18</v>
      </c>
      <c r="C49" t="s">
        <v>19</v>
      </c>
      <c r="D49">
        <v>2679</v>
      </c>
      <c r="E49">
        <v>62</v>
      </c>
      <c r="F49">
        <v>21</v>
      </c>
      <c r="G49">
        <v>2361</v>
      </c>
      <c r="H49">
        <v>256</v>
      </c>
      <c r="I49">
        <v>41</v>
      </c>
      <c r="J49">
        <v>0.77687144846968004</v>
      </c>
      <c r="K49">
        <v>0.88913773796192996</v>
      </c>
      <c r="L49">
        <v>7.5812274368231E-2</v>
      </c>
      <c r="M49">
        <v>0.33870967741934999</v>
      </c>
      <c r="N49">
        <v>0.12389380530973</v>
      </c>
      <c r="O49">
        <f t="shared" si="0"/>
        <v>0.90217806648834542</v>
      </c>
      <c r="P49">
        <f t="shared" si="1"/>
        <v>0.11086226203807004</v>
      </c>
      <c r="Q49">
        <v>3</v>
      </c>
    </row>
    <row r="50" spans="1:17" x14ac:dyDescent="0.35">
      <c r="A50" t="s">
        <v>15</v>
      </c>
      <c r="B50" t="s">
        <v>16</v>
      </c>
      <c r="C50" t="s">
        <v>17</v>
      </c>
      <c r="D50">
        <v>744</v>
      </c>
      <c r="E50">
        <v>186</v>
      </c>
      <c r="F50">
        <v>75</v>
      </c>
      <c r="G50">
        <v>526</v>
      </c>
      <c r="H50">
        <v>32</v>
      </c>
      <c r="I50">
        <v>111</v>
      </c>
      <c r="J50">
        <v>0.8367826723706</v>
      </c>
      <c r="K50">
        <v>0.80779569892473002</v>
      </c>
      <c r="L50">
        <v>0.70093457943924997</v>
      </c>
      <c r="M50">
        <v>0.40322580645160999</v>
      </c>
      <c r="N50">
        <v>0.51194539249146997</v>
      </c>
      <c r="O50">
        <f t="shared" si="0"/>
        <v>0.94265232974910396</v>
      </c>
      <c r="P50">
        <f t="shared" si="1"/>
        <v>0.19220430107526998</v>
      </c>
      <c r="Q50">
        <v>4</v>
      </c>
    </row>
    <row r="51" spans="1:17" x14ac:dyDescent="0.35">
      <c r="A51" t="s">
        <v>15</v>
      </c>
      <c r="B51" t="s">
        <v>18</v>
      </c>
      <c r="C51" t="s">
        <v>19</v>
      </c>
      <c r="D51">
        <v>2679</v>
      </c>
      <c r="E51">
        <v>62</v>
      </c>
      <c r="F51">
        <v>20</v>
      </c>
      <c r="G51">
        <v>2448</v>
      </c>
      <c r="H51">
        <v>169</v>
      </c>
      <c r="I51">
        <v>42</v>
      </c>
      <c r="J51">
        <v>0.85335338420008</v>
      </c>
      <c r="K51">
        <v>0.92123926838373005</v>
      </c>
      <c r="L51">
        <v>0.10582010582011001</v>
      </c>
      <c r="M51">
        <v>0.32258064516128998</v>
      </c>
      <c r="N51">
        <v>0.1593625498008</v>
      </c>
      <c r="O51">
        <f t="shared" si="0"/>
        <v>0.93542223920519674</v>
      </c>
      <c r="P51">
        <f t="shared" si="1"/>
        <v>7.8760731616269952E-2</v>
      </c>
      <c r="Q51">
        <v>4</v>
      </c>
    </row>
    <row r="52" spans="1:17" x14ac:dyDescent="0.35">
      <c r="A52" t="s">
        <v>20</v>
      </c>
      <c r="B52" t="s">
        <v>16</v>
      </c>
      <c r="C52" t="s">
        <v>17</v>
      </c>
      <c r="D52">
        <v>744</v>
      </c>
      <c r="E52">
        <v>186</v>
      </c>
      <c r="F52">
        <v>69</v>
      </c>
      <c r="G52">
        <v>531</v>
      </c>
      <c r="H52">
        <v>27</v>
      </c>
      <c r="I52">
        <v>117</v>
      </c>
      <c r="J52">
        <v>0.83355493891393995</v>
      </c>
      <c r="K52">
        <v>0.80645161290322998</v>
      </c>
      <c r="L52">
        <v>0.71875</v>
      </c>
      <c r="M52">
        <v>0.37096774193547999</v>
      </c>
      <c r="N52">
        <v>0.48936170212766</v>
      </c>
      <c r="O52">
        <f t="shared" si="0"/>
        <v>0.95161290322580649</v>
      </c>
      <c r="P52">
        <f t="shared" si="1"/>
        <v>0.19354838709677002</v>
      </c>
      <c r="Q52">
        <v>4</v>
      </c>
    </row>
    <row r="53" spans="1:17" x14ac:dyDescent="0.35">
      <c r="A53" t="s">
        <v>20</v>
      </c>
      <c r="B53" t="s">
        <v>18</v>
      </c>
      <c r="C53" t="s">
        <v>19</v>
      </c>
      <c r="D53">
        <v>2679</v>
      </c>
      <c r="E53">
        <v>62</v>
      </c>
      <c r="F53">
        <v>19</v>
      </c>
      <c r="G53">
        <v>2463</v>
      </c>
      <c r="H53">
        <v>154</v>
      </c>
      <c r="I53">
        <v>43</v>
      </c>
      <c r="J53">
        <v>0.84731347147066005</v>
      </c>
      <c r="K53">
        <v>0.92646509891751005</v>
      </c>
      <c r="L53">
        <v>0.10982658959538</v>
      </c>
      <c r="M53">
        <v>0.30645161290322998</v>
      </c>
      <c r="N53">
        <v>0.16170212765957001</v>
      </c>
      <c r="O53">
        <f t="shared" si="0"/>
        <v>0.94115399312189529</v>
      </c>
      <c r="P53">
        <f t="shared" si="1"/>
        <v>7.3534901082489945E-2</v>
      </c>
      <c r="Q53">
        <v>4</v>
      </c>
    </row>
    <row r="54" spans="1:17" x14ac:dyDescent="0.35">
      <c r="A54" t="s">
        <v>21</v>
      </c>
      <c r="B54" t="s">
        <v>16</v>
      </c>
      <c r="C54" t="s">
        <v>17</v>
      </c>
      <c r="D54">
        <v>744</v>
      </c>
      <c r="E54">
        <v>186</v>
      </c>
      <c r="F54">
        <v>137</v>
      </c>
      <c r="G54">
        <v>517</v>
      </c>
      <c r="H54">
        <v>41</v>
      </c>
      <c r="I54">
        <v>49</v>
      </c>
      <c r="J54">
        <v>0.91328959031873003</v>
      </c>
      <c r="K54">
        <v>0.87903225806452001</v>
      </c>
      <c r="L54">
        <v>0.76966292134831005</v>
      </c>
      <c r="M54">
        <v>0.73655913978495002</v>
      </c>
      <c r="N54">
        <v>0.75274725274724996</v>
      </c>
      <c r="O54">
        <f t="shared" si="0"/>
        <v>0.92652329749103945</v>
      </c>
      <c r="P54">
        <f t="shared" si="1"/>
        <v>0.12096774193547999</v>
      </c>
      <c r="Q54">
        <v>4</v>
      </c>
    </row>
    <row r="55" spans="1:17" x14ac:dyDescent="0.35">
      <c r="A55" t="s">
        <v>21</v>
      </c>
      <c r="B55" t="s">
        <v>18</v>
      </c>
      <c r="C55" t="s">
        <v>19</v>
      </c>
      <c r="D55">
        <v>2679</v>
      </c>
      <c r="E55">
        <v>62</v>
      </c>
      <c r="F55">
        <v>28</v>
      </c>
      <c r="G55">
        <v>2242</v>
      </c>
      <c r="H55">
        <v>375</v>
      </c>
      <c r="I55">
        <v>34</v>
      </c>
      <c r="J55">
        <v>0.74120822907293005</v>
      </c>
      <c r="K55">
        <v>0.84733109369168003</v>
      </c>
      <c r="L55">
        <v>6.9478908188586E-2</v>
      </c>
      <c r="M55">
        <v>0.45161290322580999</v>
      </c>
      <c r="N55">
        <v>0.12043010752688001</v>
      </c>
      <c r="O55">
        <f t="shared" si="0"/>
        <v>0.85670615208253731</v>
      </c>
      <c r="P55">
        <f t="shared" si="1"/>
        <v>0.15266890630831997</v>
      </c>
      <c r="Q55">
        <v>4</v>
      </c>
    </row>
    <row r="56" spans="1:17" x14ac:dyDescent="0.35">
      <c r="A56" t="s">
        <v>22</v>
      </c>
      <c r="B56" t="s">
        <v>16</v>
      </c>
      <c r="C56" t="s">
        <v>17</v>
      </c>
      <c r="D56">
        <v>744</v>
      </c>
      <c r="E56">
        <v>186</v>
      </c>
      <c r="F56">
        <v>186</v>
      </c>
      <c r="G56">
        <v>558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f t="shared" si="0"/>
        <v>1</v>
      </c>
      <c r="P56">
        <f t="shared" si="1"/>
        <v>0</v>
      </c>
      <c r="Q56">
        <v>4</v>
      </c>
    </row>
    <row r="57" spans="1:17" x14ac:dyDescent="0.35">
      <c r="A57" t="s">
        <v>22</v>
      </c>
      <c r="B57" t="s">
        <v>18</v>
      </c>
      <c r="C57" t="s">
        <v>19</v>
      </c>
      <c r="D57">
        <v>2679</v>
      </c>
      <c r="E57">
        <v>62</v>
      </c>
      <c r="F57">
        <v>32</v>
      </c>
      <c r="G57">
        <v>2439</v>
      </c>
      <c r="H57">
        <v>178</v>
      </c>
      <c r="I57">
        <v>30</v>
      </c>
      <c r="J57">
        <v>0.87522649672734998</v>
      </c>
      <c r="K57">
        <v>0.92235908921238996</v>
      </c>
      <c r="L57">
        <v>0.15238095238095001</v>
      </c>
      <c r="M57">
        <v>0.51612903225805995</v>
      </c>
      <c r="N57">
        <v>0.23529411764706001</v>
      </c>
      <c r="O57">
        <f t="shared" si="0"/>
        <v>0.93198318685517767</v>
      </c>
      <c r="P57">
        <f t="shared" si="1"/>
        <v>7.764091078761004E-2</v>
      </c>
      <c r="Q57">
        <v>4</v>
      </c>
    </row>
    <row r="58" spans="1:17" x14ac:dyDescent="0.35">
      <c r="A58" t="s">
        <v>23</v>
      </c>
      <c r="B58" t="s">
        <v>16</v>
      </c>
      <c r="C58" t="s">
        <v>17</v>
      </c>
      <c r="D58">
        <v>744</v>
      </c>
      <c r="E58">
        <v>186</v>
      </c>
      <c r="F58">
        <v>110</v>
      </c>
      <c r="G58">
        <v>522</v>
      </c>
      <c r="H58">
        <v>36</v>
      </c>
      <c r="I58">
        <v>76</v>
      </c>
      <c r="J58">
        <v>0.91313542991482999</v>
      </c>
      <c r="K58">
        <v>0.84946236559139998</v>
      </c>
      <c r="L58">
        <v>0.75342465753425003</v>
      </c>
      <c r="M58">
        <v>0.59139784946236995</v>
      </c>
      <c r="N58">
        <v>0.66265060240964002</v>
      </c>
      <c r="O58">
        <f t="shared" si="0"/>
        <v>0.93548387096774188</v>
      </c>
      <c r="P58">
        <f t="shared" si="1"/>
        <v>0.15053763440860002</v>
      </c>
      <c r="Q58">
        <v>4</v>
      </c>
    </row>
    <row r="59" spans="1:17" x14ac:dyDescent="0.35">
      <c r="A59" t="s">
        <v>23</v>
      </c>
      <c r="B59" t="s">
        <v>18</v>
      </c>
      <c r="C59" t="s">
        <v>19</v>
      </c>
      <c r="D59">
        <v>2679</v>
      </c>
      <c r="E59">
        <v>62</v>
      </c>
      <c r="F59">
        <v>30</v>
      </c>
      <c r="G59">
        <v>2313</v>
      </c>
      <c r="H59">
        <v>304</v>
      </c>
      <c r="I59">
        <v>32</v>
      </c>
      <c r="J59">
        <v>0.79072626868982998</v>
      </c>
      <c r="K59">
        <v>0.87458006718924997</v>
      </c>
      <c r="L59">
        <v>8.9820359281437001E-2</v>
      </c>
      <c r="M59">
        <v>0.48387096774193999</v>
      </c>
      <c r="N59">
        <v>0.15151515151514999</v>
      </c>
      <c r="O59">
        <f t="shared" si="0"/>
        <v>0.88383645395491017</v>
      </c>
      <c r="P59">
        <f t="shared" si="1"/>
        <v>0.12541993281075003</v>
      </c>
      <c r="Q59">
        <v>4</v>
      </c>
    </row>
    <row r="60" spans="1:17" x14ac:dyDescent="0.35">
      <c r="A60" t="s">
        <v>24</v>
      </c>
      <c r="B60" t="s">
        <v>16</v>
      </c>
      <c r="C60" t="s">
        <v>17</v>
      </c>
      <c r="D60">
        <v>744</v>
      </c>
      <c r="E60">
        <v>186</v>
      </c>
      <c r="F60">
        <v>94</v>
      </c>
      <c r="G60">
        <v>490</v>
      </c>
      <c r="H60">
        <v>68</v>
      </c>
      <c r="I60">
        <v>92</v>
      </c>
      <c r="J60">
        <v>0.81393802751763</v>
      </c>
      <c r="K60">
        <v>0.78494623655913998</v>
      </c>
      <c r="L60">
        <v>0.58024691358025005</v>
      </c>
      <c r="M60">
        <v>0.50537634408601995</v>
      </c>
      <c r="N60">
        <v>0.54022988505747005</v>
      </c>
      <c r="O60">
        <f t="shared" si="0"/>
        <v>0.87813620071684584</v>
      </c>
      <c r="P60">
        <f t="shared" si="1"/>
        <v>0.21505376344086002</v>
      </c>
      <c r="Q60">
        <v>4</v>
      </c>
    </row>
    <row r="61" spans="1:17" x14ac:dyDescent="0.35">
      <c r="A61" t="s">
        <v>24</v>
      </c>
      <c r="B61" t="s">
        <v>18</v>
      </c>
      <c r="C61" t="s">
        <v>19</v>
      </c>
      <c r="D61">
        <v>2679</v>
      </c>
      <c r="E61">
        <v>62</v>
      </c>
      <c r="F61">
        <v>32</v>
      </c>
      <c r="G61">
        <v>2302</v>
      </c>
      <c r="H61">
        <v>315</v>
      </c>
      <c r="I61">
        <v>30</v>
      </c>
      <c r="J61">
        <v>0.83824127602401</v>
      </c>
      <c r="K61">
        <v>0.87122060470325002</v>
      </c>
      <c r="L61">
        <v>9.2219020172911004E-2</v>
      </c>
      <c r="M61">
        <v>0.51612903225805995</v>
      </c>
      <c r="N61">
        <v>0.15647921760391001</v>
      </c>
      <c r="O61">
        <f t="shared" si="0"/>
        <v>0.87963316774933131</v>
      </c>
      <c r="P61">
        <f t="shared" si="1"/>
        <v>0.12877939529674998</v>
      </c>
      <c r="Q61">
        <v>4</v>
      </c>
    </row>
    <row r="62" spans="1:17" x14ac:dyDescent="0.35">
      <c r="A62" t="s">
        <v>25</v>
      </c>
      <c r="B62" t="s">
        <v>16</v>
      </c>
      <c r="C62" t="s">
        <v>17</v>
      </c>
      <c r="D62">
        <v>744</v>
      </c>
      <c r="E62">
        <v>186</v>
      </c>
      <c r="F62">
        <v>81</v>
      </c>
      <c r="G62">
        <v>535</v>
      </c>
      <c r="H62">
        <v>23</v>
      </c>
      <c r="I62">
        <v>105</v>
      </c>
      <c r="J62">
        <v>0.88342582957566995</v>
      </c>
      <c r="K62">
        <v>0.82795698924730998</v>
      </c>
      <c r="L62">
        <v>0.77884615384614997</v>
      </c>
      <c r="M62">
        <v>0.43548387096773999</v>
      </c>
      <c r="N62">
        <v>0.55862068965516998</v>
      </c>
      <c r="O62">
        <f t="shared" si="0"/>
        <v>0.95878136200716846</v>
      </c>
      <c r="P62">
        <f t="shared" si="1"/>
        <v>0.17204301075269002</v>
      </c>
      <c r="Q62">
        <v>4</v>
      </c>
    </row>
    <row r="63" spans="1:17" x14ac:dyDescent="0.35">
      <c r="A63" t="s">
        <v>25</v>
      </c>
      <c r="B63" t="s">
        <v>18</v>
      </c>
      <c r="C63" t="s">
        <v>19</v>
      </c>
      <c r="D63">
        <v>2679</v>
      </c>
      <c r="E63">
        <v>62</v>
      </c>
      <c r="F63">
        <v>21</v>
      </c>
      <c r="G63">
        <v>2473</v>
      </c>
      <c r="H63">
        <v>144</v>
      </c>
      <c r="I63">
        <v>41</v>
      </c>
      <c r="J63">
        <v>0.84484820096885005</v>
      </c>
      <c r="K63">
        <v>0.93094438223218001</v>
      </c>
      <c r="L63">
        <v>0.12727272727273001</v>
      </c>
      <c r="M63">
        <v>0.33870967741934999</v>
      </c>
      <c r="N63">
        <v>0.18502202643172</v>
      </c>
      <c r="O63">
        <f t="shared" si="0"/>
        <v>0.94497516239969426</v>
      </c>
      <c r="P63">
        <f t="shared" si="1"/>
        <v>6.9055617767819988E-2</v>
      </c>
      <c r="Q63">
        <v>4</v>
      </c>
    </row>
    <row r="64" spans="1:17" x14ac:dyDescent="0.35">
      <c r="A64" t="s">
        <v>26</v>
      </c>
      <c r="B64" t="s">
        <v>16</v>
      </c>
      <c r="C64" t="s">
        <v>17</v>
      </c>
      <c r="D64">
        <v>744</v>
      </c>
      <c r="E64">
        <v>186</v>
      </c>
      <c r="F64">
        <v>154</v>
      </c>
      <c r="G64">
        <v>553</v>
      </c>
      <c r="H64">
        <v>5</v>
      </c>
      <c r="I64">
        <v>32</v>
      </c>
      <c r="J64">
        <v>0.99259066558754006</v>
      </c>
      <c r="K64">
        <v>0.95026881720430001</v>
      </c>
      <c r="L64">
        <v>0.96855345911949997</v>
      </c>
      <c r="M64">
        <v>0.82795698924730998</v>
      </c>
      <c r="N64">
        <v>0.89275362318841001</v>
      </c>
      <c r="O64">
        <f t="shared" si="0"/>
        <v>0.99103942652329746</v>
      </c>
      <c r="P64">
        <f t="shared" si="1"/>
        <v>4.9731182795699991E-2</v>
      </c>
      <c r="Q64">
        <v>4</v>
      </c>
    </row>
    <row r="65" spans="1:17" x14ac:dyDescent="0.35">
      <c r="A65" t="s">
        <v>26</v>
      </c>
      <c r="B65" t="s">
        <v>18</v>
      </c>
      <c r="C65" t="s">
        <v>19</v>
      </c>
      <c r="D65">
        <v>2679</v>
      </c>
      <c r="E65">
        <v>62</v>
      </c>
      <c r="F65">
        <v>33</v>
      </c>
      <c r="G65">
        <v>2428</v>
      </c>
      <c r="H65">
        <v>189</v>
      </c>
      <c r="I65">
        <v>29</v>
      </c>
      <c r="J65">
        <v>0.86747938417543002</v>
      </c>
      <c r="K65">
        <v>0.91862635311683005</v>
      </c>
      <c r="L65">
        <v>0.14864864864864999</v>
      </c>
      <c r="M65">
        <v>0.53225806451613</v>
      </c>
      <c r="N65">
        <v>0.23239436619718001</v>
      </c>
      <c r="O65">
        <f t="shared" si="0"/>
        <v>0.92777990064959881</v>
      </c>
      <c r="P65">
        <f t="shared" si="1"/>
        <v>8.1373646883169948E-2</v>
      </c>
      <c r="Q65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28FF-FFF4-4A21-8006-EC981401D59D}">
  <dimension ref="A3:D41"/>
  <sheetViews>
    <sheetView topLeftCell="A20" workbookViewId="0">
      <selection activeCell="B4" sqref="B4:D4"/>
    </sheetView>
  </sheetViews>
  <sheetFormatPr defaultRowHeight="14.5" x14ac:dyDescent="0.35"/>
  <cols>
    <col min="1" max="1" width="20.26953125" bestFit="1" customWidth="1"/>
    <col min="2" max="2" width="15.08984375" bestFit="1" customWidth="1"/>
    <col min="3" max="3" width="17.26953125" bestFit="1" customWidth="1"/>
    <col min="4" max="4" width="41.26953125" bestFit="1" customWidth="1"/>
  </cols>
  <sheetData>
    <row r="3" spans="1:4" x14ac:dyDescent="0.35">
      <c r="A3" s="7" t="s">
        <v>29</v>
      </c>
      <c r="B3" s="2" t="s">
        <v>32</v>
      </c>
      <c r="C3" s="18" t="s">
        <v>31</v>
      </c>
      <c r="D3" s="11" t="s">
        <v>33</v>
      </c>
    </row>
    <row r="4" spans="1:4" x14ac:dyDescent="0.35">
      <c r="A4" s="8" t="s">
        <v>18</v>
      </c>
      <c r="B4" s="12">
        <v>0.45262096774193472</v>
      </c>
      <c r="C4" s="19">
        <v>0.17665802493530464</v>
      </c>
      <c r="D4" s="13">
        <v>0.90913975926633572</v>
      </c>
    </row>
    <row r="5" spans="1:4" x14ac:dyDescent="0.35">
      <c r="A5" s="9" t="s">
        <v>21</v>
      </c>
      <c r="B5" s="14">
        <v>0.46774193548387</v>
      </c>
      <c r="C5" s="20">
        <v>0.13844094525266198</v>
      </c>
      <c r="D5" s="15">
        <v>0.86606801681314483</v>
      </c>
    </row>
    <row r="6" spans="1:4" x14ac:dyDescent="0.35">
      <c r="A6" s="9" t="s">
        <v>26</v>
      </c>
      <c r="B6" s="14">
        <v>0.52419354838709498</v>
      </c>
      <c r="C6" s="20">
        <v>0.20125076014792501</v>
      </c>
      <c r="D6" s="15">
        <v>0.91125334352311804</v>
      </c>
    </row>
    <row r="7" spans="1:4" x14ac:dyDescent="0.35">
      <c r="A7" s="9" t="s">
        <v>23</v>
      </c>
      <c r="B7" s="14">
        <v>0.47177419354838745</v>
      </c>
      <c r="C7" s="20">
        <v>0.15596829056650752</v>
      </c>
      <c r="D7" s="15">
        <v>0.89291173098968279</v>
      </c>
    </row>
    <row r="8" spans="1:4" x14ac:dyDescent="0.35">
      <c r="A8" s="9" t="s">
        <v>15</v>
      </c>
      <c r="B8" s="14">
        <v>0.40322580645161249</v>
      </c>
      <c r="C8" s="20">
        <v>0.18270792929447249</v>
      </c>
      <c r="D8" s="15">
        <v>0.9294038975926634</v>
      </c>
    </row>
    <row r="9" spans="1:4" x14ac:dyDescent="0.35">
      <c r="A9" s="9" t="s">
        <v>20</v>
      </c>
      <c r="B9" s="14">
        <v>0.3588709677419375</v>
      </c>
      <c r="C9" s="20">
        <v>0.18033370225307252</v>
      </c>
      <c r="D9" s="15">
        <v>0.93819258693160101</v>
      </c>
    </row>
    <row r="10" spans="1:4" x14ac:dyDescent="0.35">
      <c r="A10" s="9" t="s">
        <v>24</v>
      </c>
      <c r="B10" s="14">
        <v>0.5161290322580625</v>
      </c>
      <c r="C10" s="20">
        <v>0.15009123163413252</v>
      </c>
      <c r="D10" s="15">
        <v>0.87361482613679786</v>
      </c>
    </row>
    <row r="11" spans="1:4" x14ac:dyDescent="0.35">
      <c r="A11" s="9" t="s">
        <v>22</v>
      </c>
      <c r="B11" s="14">
        <v>0.50403225806451502</v>
      </c>
      <c r="C11" s="20">
        <v>0.20969560089033251</v>
      </c>
      <c r="D11" s="15">
        <v>0.92137944210928535</v>
      </c>
    </row>
    <row r="12" spans="1:4" x14ac:dyDescent="0.35">
      <c r="A12" s="9" t="s">
        <v>25</v>
      </c>
      <c r="B12" s="14">
        <v>0.37499999999999745</v>
      </c>
      <c r="C12" s="20">
        <v>0.19477573944333249</v>
      </c>
      <c r="D12" s="15">
        <v>0.9402942300343905</v>
      </c>
    </row>
    <row r="13" spans="1:4" x14ac:dyDescent="0.35">
      <c r="A13" s="10" t="s">
        <v>30</v>
      </c>
      <c r="B13" s="16">
        <v>0.45262096774193472</v>
      </c>
      <c r="C13" s="21">
        <v>0.17665802493530464</v>
      </c>
      <c r="D13" s="17">
        <v>0.90913975926633572</v>
      </c>
    </row>
    <row r="16" spans="1:4" x14ac:dyDescent="0.35">
      <c r="A16" s="2" t="s">
        <v>29</v>
      </c>
      <c r="B16" s="18" t="s">
        <v>31</v>
      </c>
    </row>
    <row r="17" spans="1:3" x14ac:dyDescent="0.35">
      <c r="A17" s="8" t="s">
        <v>18</v>
      </c>
      <c r="B17" s="19">
        <v>0.17665802493530464</v>
      </c>
    </row>
    <row r="18" spans="1:3" x14ac:dyDescent="0.35">
      <c r="A18" s="9" t="s">
        <v>21</v>
      </c>
      <c r="B18" s="20">
        <v>0.13844094525266198</v>
      </c>
    </row>
    <row r="19" spans="1:3" x14ac:dyDescent="0.35">
      <c r="A19" s="9" t="s">
        <v>26</v>
      </c>
      <c r="B19" s="20">
        <v>0.20125076014792501</v>
      </c>
    </row>
    <row r="20" spans="1:3" x14ac:dyDescent="0.35">
      <c r="A20" s="9" t="s">
        <v>23</v>
      </c>
      <c r="B20" s="20">
        <v>0.15596829056650752</v>
      </c>
    </row>
    <row r="21" spans="1:3" x14ac:dyDescent="0.35">
      <c r="A21" s="9" t="s">
        <v>15</v>
      </c>
      <c r="B21" s="20">
        <v>0.18270792929447249</v>
      </c>
    </row>
    <row r="22" spans="1:3" x14ac:dyDescent="0.35">
      <c r="A22" s="9" t="s">
        <v>20</v>
      </c>
      <c r="B22" s="20">
        <v>0.18033370225307252</v>
      </c>
    </row>
    <row r="23" spans="1:3" x14ac:dyDescent="0.35">
      <c r="A23" s="9" t="s">
        <v>24</v>
      </c>
      <c r="B23" s="20">
        <v>0.15009123163413252</v>
      </c>
    </row>
    <row r="24" spans="1:3" x14ac:dyDescent="0.35">
      <c r="A24" s="9" t="s">
        <v>22</v>
      </c>
      <c r="B24" s="20">
        <v>0.20969560089033251</v>
      </c>
    </row>
    <row r="25" spans="1:3" x14ac:dyDescent="0.35">
      <c r="A25" s="9" t="s">
        <v>25</v>
      </c>
      <c r="B25" s="20">
        <v>0.19477573944333249</v>
      </c>
    </row>
    <row r="32" spans="1:3" x14ac:dyDescent="0.35">
      <c r="A32" t="s">
        <v>29</v>
      </c>
      <c r="B32" t="s">
        <v>32</v>
      </c>
      <c r="C32" t="s">
        <v>33</v>
      </c>
    </row>
    <row r="33" spans="1:3" x14ac:dyDescent="0.35">
      <c r="A33" t="s">
        <v>18</v>
      </c>
      <c r="B33">
        <v>0.45262096774193472</v>
      </c>
      <c r="C33">
        <v>0.90913975926633572</v>
      </c>
    </row>
    <row r="34" spans="1:3" x14ac:dyDescent="0.35">
      <c r="A34" t="s">
        <v>21</v>
      </c>
      <c r="B34">
        <v>0.46774193548387</v>
      </c>
      <c r="C34">
        <v>0.86606801681314483</v>
      </c>
    </row>
    <row r="35" spans="1:3" x14ac:dyDescent="0.35">
      <c r="A35" t="s">
        <v>26</v>
      </c>
      <c r="B35">
        <v>0.52419354838709498</v>
      </c>
      <c r="C35">
        <v>0.91125334352311804</v>
      </c>
    </row>
    <row r="36" spans="1:3" x14ac:dyDescent="0.35">
      <c r="A36" t="s">
        <v>23</v>
      </c>
      <c r="B36">
        <v>0.47177419354838745</v>
      </c>
      <c r="C36">
        <v>0.89291173098968279</v>
      </c>
    </row>
    <row r="37" spans="1:3" x14ac:dyDescent="0.35">
      <c r="A37" t="s">
        <v>15</v>
      </c>
      <c r="B37">
        <v>0.40322580645161249</v>
      </c>
      <c r="C37">
        <v>0.9294038975926634</v>
      </c>
    </row>
    <row r="38" spans="1:3" x14ac:dyDescent="0.35">
      <c r="A38" t="s">
        <v>20</v>
      </c>
      <c r="B38">
        <v>0.3588709677419375</v>
      </c>
      <c r="C38">
        <v>0.93819258693160101</v>
      </c>
    </row>
    <row r="39" spans="1:3" x14ac:dyDescent="0.35">
      <c r="A39" t="s">
        <v>24</v>
      </c>
      <c r="B39">
        <v>0.5161290322580625</v>
      </c>
      <c r="C39">
        <v>0.87361482613679786</v>
      </c>
    </row>
    <row r="40" spans="1:3" x14ac:dyDescent="0.35">
      <c r="A40" t="s">
        <v>22</v>
      </c>
      <c r="B40">
        <v>0.50403225806451502</v>
      </c>
      <c r="C40">
        <v>0.92137944210928535</v>
      </c>
    </row>
    <row r="41" spans="1:3" x14ac:dyDescent="0.35">
      <c r="A41" t="s">
        <v>25</v>
      </c>
      <c r="B41">
        <v>0.37499999999999745</v>
      </c>
      <c r="C41">
        <v>0.9402942300343905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Data</vt:lpstr>
      <vt:lpstr>Pivot Tables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Apostolos Sinioris</cp:lastModifiedBy>
  <dcterms:created xsi:type="dcterms:W3CDTF">2026-01-09T12:07:40Z</dcterms:created>
  <dcterms:modified xsi:type="dcterms:W3CDTF">2026-01-09T15:18:22Z</dcterms:modified>
  <cp:category/>
</cp:coreProperties>
</file>